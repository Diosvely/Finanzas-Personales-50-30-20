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06 PROYECTOS\02 ESPAÑA\00_CaixaBank\Prototipo\"/>
    </mc:Choice>
  </mc:AlternateContent>
  <xr:revisionPtr revIDLastSave="0" documentId="13_ncr:1_{236DA262-3EF4-4226-8F01-8448E24D40B0}" xr6:coauthVersionLast="47" xr6:coauthVersionMax="47" xr10:uidLastSave="{00000000-0000-0000-0000-000000000000}"/>
  <bookViews>
    <workbookView xWindow="-120" yWindow="-120" windowWidth="20730" windowHeight="11160" tabRatio="762" xr2:uid="{00000000-000D-0000-FFFF-FFFF00000000}"/>
  </bookViews>
  <sheets>
    <sheet name="Instrucciones" sheetId="11" r:id="rId1"/>
    <sheet name="Categorias " sheetId="1" r:id="rId2"/>
    <sheet name="Plan-Patron" sheetId="3" r:id="rId3"/>
    <sheet name="Plan2025" sheetId="5" r:id="rId4"/>
    <sheet name="Dashboard" sheetId="7" r:id="rId5"/>
  </sheets>
  <definedNames>
    <definedName name="_xleta.IF" hidden="1" xlm="1">#NAME?</definedName>
    <definedName name="_xleta.T" hidden="1" xlm="1">#NAME?</definedName>
    <definedName name="_xleta.TYPE" hidden="1" xlm="1">#NAME?</definedName>
    <definedName name="_xlnm.Print_Area" localSheetId="3">Plan2025!$A$1:$Z$35</definedName>
    <definedName name="_xlnm.Print_Titles" localSheetId="3">Plan2025!$A:$A,Plan2025!$3:$4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7" l="1"/>
  <c r="B33" i="5"/>
  <c r="D2" i="1"/>
  <c r="A4" i="7"/>
  <c r="C4" i="7"/>
  <c r="B8" i="7"/>
  <c r="C8" i="7"/>
  <c r="D8" i="7"/>
  <c r="E8" i="7"/>
  <c r="F8" i="7"/>
  <c r="G8" i="7"/>
  <c r="H8" i="7"/>
  <c r="I8" i="7"/>
  <c r="J8" i="7"/>
  <c r="K8" i="7"/>
  <c r="L8" i="7"/>
  <c r="M8" i="7"/>
  <c r="B9" i="7"/>
  <c r="C9" i="7"/>
  <c r="D9" i="7"/>
  <c r="E9" i="7"/>
  <c r="F9" i="7"/>
  <c r="G9" i="7"/>
  <c r="H9" i="7"/>
  <c r="I9" i="7"/>
  <c r="J9" i="7"/>
  <c r="K9" i="7"/>
  <c r="L9" i="7"/>
  <c r="M9" i="7"/>
  <c r="D10" i="7"/>
  <c r="E10" i="7"/>
  <c r="F10" i="7"/>
  <c r="G10" i="7"/>
  <c r="H10" i="7"/>
  <c r="I10" i="7"/>
  <c r="J10" i="7"/>
  <c r="K10" i="7"/>
  <c r="L10" i="7"/>
  <c r="M10" i="7"/>
  <c r="D11" i="7"/>
  <c r="E11" i="7"/>
  <c r="F11" i="7"/>
  <c r="G11" i="7"/>
  <c r="H11" i="7"/>
  <c r="I11" i="7"/>
  <c r="J11" i="7"/>
  <c r="K11" i="7"/>
  <c r="L11" i="7"/>
  <c r="M11" i="7"/>
  <c r="E33" i="7"/>
  <c r="E35" i="7"/>
  <c r="F33" i="7"/>
  <c r="B32" i="7"/>
  <c r="B39" i="7"/>
  <c r="B40" i="7"/>
  <c r="B41" i="7"/>
  <c r="B42" i="7"/>
  <c r="B43" i="7"/>
  <c r="B44" i="7"/>
  <c r="B47" i="7"/>
  <c r="B48" i="7"/>
  <c r="B49" i="7"/>
  <c r="B50" i="7"/>
  <c r="B51" i="7"/>
  <c r="B52" i="7"/>
  <c r="B59" i="7"/>
  <c r="O23" i="5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O24" i="5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O25" i="5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O26" i="5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O27" i="5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O20" i="5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O21" i="5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O15" i="5"/>
  <c r="P15" i="5" s="1"/>
  <c r="Q15" i="5" s="1"/>
  <c r="R15" i="5" s="1"/>
  <c r="S15" i="5" s="1"/>
  <c r="T15" i="5" s="1"/>
  <c r="U15" i="5" s="1"/>
  <c r="V15" i="5" s="1"/>
  <c r="W15" i="5" s="1"/>
  <c r="X15" i="5" s="1"/>
  <c r="Y15" i="5" s="1"/>
  <c r="Z15" i="5" s="1"/>
  <c r="O16" i="5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O17" i="5"/>
  <c r="P17" i="5" s="1"/>
  <c r="Q17" i="5" s="1"/>
  <c r="R17" i="5" s="1"/>
  <c r="S17" i="5" s="1"/>
  <c r="T17" i="5" s="1"/>
  <c r="U17" i="5" s="1"/>
  <c r="V17" i="5" s="1"/>
  <c r="W17" i="5" s="1"/>
  <c r="X17" i="5" s="1"/>
  <c r="Y17" i="5" s="1"/>
  <c r="Z17" i="5" s="1"/>
  <c r="O18" i="5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O13" i="5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O6" i="5"/>
  <c r="P6" i="5" s="1"/>
  <c r="Q6" i="5" s="1"/>
  <c r="R6" i="5" s="1"/>
  <c r="S6" i="5" s="1"/>
  <c r="T6" i="5" s="1"/>
  <c r="U6" i="5" s="1"/>
  <c r="V6" i="5" s="1"/>
  <c r="W6" i="5" s="1"/>
  <c r="X6" i="5" s="1"/>
  <c r="Y6" i="5" s="1"/>
  <c r="Z6" i="5" s="1"/>
  <c r="O7" i="5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O8" i="5"/>
  <c r="P8" i="5" s="1"/>
  <c r="Q8" i="5" s="1"/>
  <c r="R8" i="5" s="1"/>
  <c r="S8" i="5" s="1"/>
  <c r="T8" i="5" s="1"/>
  <c r="U8" i="5" s="1"/>
  <c r="V8" i="5" s="1"/>
  <c r="W8" i="5" s="1"/>
  <c r="X8" i="5" s="1"/>
  <c r="Y8" i="5" s="1"/>
  <c r="Z8" i="5" s="1"/>
  <c r="O9" i="5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O10" i="5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O11" i="5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B23" i="3"/>
  <c r="D28" i="5"/>
  <c r="D30" i="5" s="1"/>
  <c r="C11" i="7" s="1"/>
  <c r="E28" i="5"/>
  <c r="F28" i="5"/>
  <c r="G28" i="5"/>
  <c r="H28" i="5"/>
  <c r="I28" i="5"/>
  <c r="J28" i="5"/>
  <c r="K28" i="5"/>
  <c r="L28" i="5"/>
  <c r="M28" i="5"/>
  <c r="N28" i="5"/>
  <c r="D19" i="5"/>
  <c r="E19" i="5"/>
  <c r="F19" i="5"/>
  <c r="G19" i="5"/>
  <c r="H19" i="5"/>
  <c r="I19" i="5"/>
  <c r="J19" i="5"/>
  <c r="K19" i="5"/>
  <c r="L19" i="5"/>
  <c r="M19" i="5"/>
  <c r="N19" i="5"/>
  <c r="C19" i="5"/>
  <c r="C28" i="5"/>
  <c r="B10" i="7" s="1"/>
  <c r="B6" i="5"/>
  <c r="B7" i="5"/>
  <c r="B10" i="5"/>
  <c r="B11" i="5"/>
  <c r="B5" i="5"/>
  <c r="O5" i="5"/>
  <c r="P5" i="5" s="1"/>
  <c r="Q5" i="5" s="1"/>
  <c r="B14" i="5"/>
  <c r="O14" i="5"/>
  <c r="P14" i="5" s="1"/>
  <c r="B15" i="5"/>
  <c r="B16" i="5"/>
  <c r="B17" i="5"/>
  <c r="B18" i="5"/>
  <c r="B22" i="5"/>
  <c r="O22" i="5"/>
  <c r="P22" i="5" s="1"/>
  <c r="B23" i="5"/>
  <c r="B24" i="5"/>
  <c r="B25" i="5"/>
  <c r="B26" i="5"/>
  <c r="B53" i="7" s="1"/>
  <c r="B27" i="5"/>
  <c r="B54" i="7" s="1"/>
  <c r="C2" i="3"/>
  <c r="C3" i="3"/>
  <c r="C10" i="3"/>
  <c r="C21" i="3"/>
  <c r="C22" i="3"/>
  <c r="C23" i="3"/>
  <c r="A4" i="3"/>
  <c r="C4" i="3" s="1"/>
  <c r="A5" i="3"/>
  <c r="C5" i="3" s="1"/>
  <c r="C6" i="3"/>
  <c r="A7" i="3"/>
  <c r="C7" i="3" s="1"/>
  <c r="A8" i="3"/>
  <c r="C8" i="3" s="1"/>
  <c r="A9" i="3"/>
  <c r="C9" i="3" s="1"/>
  <c r="A11" i="3"/>
  <c r="C11" i="3" s="1"/>
  <c r="A12" i="3"/>
  <c r="C12" i="3" s="1"/>
  <c r="A13" i="3"/>
  <c r="C13" i="3" s="1"/>
  <c r="A14" i="3"/>
  <c r="C14" i="3" s="1"/>
  <c r="A15" i="3"/>
  <c r="C15" i="3" s="1"/>
  <c r="A16" i="3"/>
  <c r="C16" i="3" s="1"/>
  <c r="A17" i="3"/>
  <c r="C17" i="3" s="1"/>
  <c r="A18" i="3"/>
  <c r="C18" i="3" s="1"/>
  <c r="A19" i="3"/>
  <c r="C19" i="3" s="1"/>
  <c r="A20" i="3"/>
  <c r="C20" i="3" s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C10" i="7" l="1"/>
  <c r="R5" i="5"/>
  <c r="J12" i="5"/>
  <c r="L12" i="5"/>
  <c r="D12" i="5"/>
  <c r="N12" i="5"/>
  <c r="F12" i="5"/>
  <c r="H12" i="5"/>
  <c r="K12" i="5"/>
  <c r="G12" i="5"/>
  <c r="B8" i="5"/>
  <c r="M12" i="5"/>
  <c r="I12" i="5"/>
  <c r="E12" i="5"/>
  <c r="B9" i="5"/>
  <c r="C12" i="5"/>
  <c r="Q22" i="5"/>
  <c r="B21" i="5"/>
  <c r="B20" i="5"/>
  <c r="Q14" i="5"/>
  <c r="F4" i="3"/>
  <c r="F3" i="3"/>
  <c r="F6" i="3"/>
  <c r="F5" i="3"/>
  <c r="S5" i="5" l="1"/>
  <c r="G6" i="3"/>
  <c r="G5" i="3"/>
  <c r="G4" i="3"/>
  <c r="P28" i="5"/>
  <c r="O28" i="5"/>
  <c r="G35" i="5"/>
  <c r="E35" i="5"/>
  <c r="J35" i="5"/>
  <c r="N35" i="5"/>
  <c r="C36" i="5"/>
  <c r="C37" i="5"/>
  <c r="K36" i="5"/>
  <c r="K37" i="5"/>
  <c r="D36" i="5"/>
  <c r="D37" i="5"/>
  <c r="H36" i="5"/>
  <c r="H37" i="5"/>
  <c r="L36" i="5"/>
  <c r="L37" i="5"/>
  <c r="I35" i="5"/>
  <c r="F37" i="5"/>
  <c r="F36" i="5"/>
  <c r="J36" i="5"/>
  <c r="J37" i="5"/>
  <c r="C35" i="5"/>
  <c r="M35" i="5"/>
  <c r="H35" i="5"/>
  <c r="I36" i="5"/>
  <c r="I37" i="5"/>
  <c r="M36" i="5"/>
  <c r="M37" i="5"/>
  <c r="K35" i="5"/>
  <c r="E36" i="5"/>
  <c r="E37" i="5"/>
  <c r="G36" i="5"/>
  <c r="G37" i="5"/>
  <c r="N36" i="5"/>
  <c r="N37" i="5"/>
  <c r="D35" i="5"/>
  <c r="F35" i="5"/>
  <c r="L35" i="5"/>
  <c r="B28" i="5"/>
  <c r="O12" i="5"/>
  <c r="O37" i="5" s="1"/>
  <c r="B13" i="5"/>
  <c r="B12" i="5"/>
  <c r="P19" i="5"/>
  <c r="R14" i="5"/>
  <c r="R22" i="5"/>
  <c r="O19" i="5"/>
  <c r="Q12" i="5"/>
  <c r="E4" i="7" l="1"/>
  <c r="E34" i="7"/>
  <c r="F34" i="7" s="1"/>
  <c r="B33" i="7"/>
  <c r="T5" i="5"/>
  <c r="B37" i="5"/>
  <c r="Q28" i="5"/>
  <c r="Q35" i="5" s="1"/>
  <c r="Q37" i="5"/>
  <c r="B35" i="5"/>
  <c r="O35" i="5"/>
  <c r="O36" i="5"/>
  <c r="B36" i="5"/>
  <c r="R12" i="5"/>
  <c r="P12" i="5"/>
  <c r="P35" i="5" s="1"/>
  <c r="R19" i="5"/>
  <c r="Q19" i="5"/>
  <c r="S22" i="5"/>
  <c r="S14" i="5"/>
  <c r="U5" i="5" l="1"/>
  <c r="R28" i="5"/>
  <c r="R36" i="5"/>
  <c r="P37" i="5"/>
  <c r="P36" i="5"/>
  <c r="R37" i="5"/>
  <c r="Q36" i="5"/>
  <c r="S12" i="5"/>
  <c r="T14" i="5"/>
  <c r="S19" i="5"/>
  <c r="T22" i="5"/>
  <c r="V5" i="5" l="1"/>
  <c r="S28" i="5"/>
  <c r="S35" i="5" s="1"/>
  <c r="S36" i="5"/>
  <c r="R35" i="5"/>
  <c r="S37" i="5"/>
  <c r="T12" i="5"/>
  <c r="T19" i="5"/>
  <c r="U14" i="5"/>
  <c r="U22" i="5"/>
  <c r="W5" i="5" l="1"/>
  <c r="T28" i="5"/>
  <c r="T35" i="5" s="1"/>
  <c r="T36" i="5"/>
  <c r="T37" i="5"/>
  <c r="U12" i="5"/>
  <c r="U19" i="5"/>
  <c r="V22" i="5"/>
  <c r="V14" i="5"/>
  <c r="X5" i="5" l="1"/>
  <c r="U28" i="5"/>
  <c r="U35" i="5" s="1"/>
  <c r="U37" i="5"/>
  <c r="U36" i="5"/>
  <c r="V12" i="5"/>
  <c r="W22" i="5"/>
  <c r="W14" i="5"/>
  <c r="V19" i="5"/>
  <c r="Y5" i="5" l="1"/>
  <c r="V28" i="5"/>
  <c r="V37" i="5"/>
  <c r="V36" i="5"/>
  <c r="W12" i="5"/>
  <c r="X14" i="5"/>
  <c r="W19" i="5"/>
  <c r="X22" i="5"/>
  <c r="Z5" i="5" l="1"/>
  <c r="W28" i="5"/>
  <c r="W35" i="5" s="1"/>
  <c r="W37" i="5"/>
  <c r="W36" i="5"/>
  <c r="V35" i="5"/>
  <c r="X12" i="5"/>
  <c r="X19" i="5"/>
  <c r="Y14" i="5"/>
  <c r="Y22" i="5"/>
  <c r="X28" i="5" l="1"/>
  <c r="X35" i="5" s="1"/>
  <c r="X37" i="5"/>
  <c r="X36" i="5"/>
  <c r="Y12" i="5"/>
  <c r="Y19" i="5"/>
  <c r="Z22" i="5"/>
  <c r="Z14" i="5"/>
  <c r="Y28" i="5" l="1"/>
  <c r="Y35" i="5" s="1"/>
  <c r="Z28" i="5"/>
  <c r="Y36" i="5"/>
  <c r="Y37" i="5"/>
  <c r="Z12" i="5"/>
  <c r="Z37" i="5" s="1"/>
  <c r="Z19" i="5"/>
  <c r="Z35" i="5" l="1"/>
  <c r="Z36" i="5"/>
  <c r="C34" i="5"/>
  <c r="C30" i="5"/>
  <c r="B11" i="7" s="1"/>
  <c r="T30" i="5"/>
  <c r="T33" i="5" s="1"/>
  <c r="X30" i="5"/>
  <c r="X33" i="5" s="1"/>
  <c r="P30" i="5"/>
  <c r="P33" i="5" s="1"/>
  <c r="O30" i="5"/>
  <c r="O33" i="5" s="1"/>
  <c r="V30" i="5"/>
  <c r="V33" i="5" s="1"/>
  <c r="W30" i="5"/>
  <c r="W33" i="5" s="1"/>
  <c r="M34" i="5"/>
  <c r="G30" i="5"/>
  <c r="U30" i="5"/>
  <c r="U33" i="5" s="1"/>
  <c r="N34" i="5"/>
  <c r="F30" i="5"/>
  <c r="K34" i="5"/>
  <c r="L30" i="5"/>
  <c r="W34" i="5"/>
  <c r="E30" i="5"/>
  <c r="J34" i="5"/>
  <c r="Y34" i="5"/>
  <c r="H30" i="5"/>
  <c r="Z30" i="5"/>
  <c r="Z33" i="5" s="1"/>
  <c r="B19" i="5"/>
  <c r="Q30" i="5"/>
  <c r="Q33" i="5" s="1"/>
  <c r="N30" i="5"/>
  <c r="S34" i="5"/>
  <c r="O34" i="5"/>
  <c r="K30" i="5"/>
  <c r="I34" i="5"/>
  <c r="S30" i="5"/>
  <c r="S33" i="5" s="1"/>
  <c r="F34" i="5"/>
  <c r="Z34" i="5"/>
  <c r="P34" i="5"/>
  <c r="V34" i="5"/>
  <c r="R34" i="5"/>
  <c r="L34" i="5"/>
  <c r="H34" i="5"/>
  <c r="M30" i="5"/>
  <c r="E34" i="5"/>
  <c r="J30" i="5"/>
  <c r="Q34" i="5"/>
  <c r="Y30" i="5"/>
  <c r="Y33" i="5" s="1"/>
  <c r="X34" i="5"/>
  <c r="D34" i="5"/>
  <c r="G34" i="5"/>
  <c r="T34" i="5"/>
  <c r="U34" i="5"/>
  <c r="R30" i="5"/>
  <c r="R33" i="5" s="1"/>
  <c r="I30" i="5"/>
  <c r="C33" i="5" l="1"/>
  <c r="N33" i="5"/>
  <c r="M33" i="5"/>
  <c r="L33" i="5"/>
  <c r="K33" i="5"/>
  <c r="J33" i="5"/>
  <c r="I33" i="5"/>
  <c r="H33" i="5"/>
  <c r="G33" i="5"/>
  <c r="F33" i="5"/>
  <c r="E33" i="5"/>
  <c r="B34" i="5"/>
  <c r="D33" i="5"/>
  <c r="B30" i="5"/>
  <c r="G4" i="7" l="1"/>
  <c r="E32" i="7"/>
  <c r="F32" i="7" s="1"/>
  <c r="B3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3B0AD2-8EB4-49E3-AC01-D03F172EA64F}" keepAlive="1" name="Consulta - dimCategorias" description="Conexión a la consulta 'dimCategorias' en el libro." type="5" refreshedVersion="8" background="1">
    <dbPr connection="Provider=Microsoft.Mashup.OleDb.1;Data Source=$Workbook$;Location=dimCategorias;Extended Properties=&quot;&quot;" command="SELECT * FROM [dimCategorias]"/>
  </connection>
  <connection id="2" xr16:uid="{54B86117-80AB-4482-917F-9A9A56AD3E55}" keepAlive="1" name="Consulta - FactPresupuesto" description="Conexión a la consulta 'FactPresupuesto' en el libro." type="5" refreshedVersion="0" background="1">
    <dbPr connection="Provider=Microsoft.Mashup.OleDb.1;Data Source=$Workbook$;Location=FactPresupuesto;Extended Properties=&quot;&quot;" command="SELECT * FROM [FactPresupuesto]"/>
  </connection>
</connections>
</file>

<file path=xl/sharedStrings.xml><?xml version="1.0" encoding="utf-8"?>
<sst xmlns="http://schemas.openxmlformats.org/spreadsheetml/2006/main" count="412" uniqueCount="297">
  <si>
    <t>Categoría</t>
  </si>
  <si>
    <t>Descripción</t>
  </si>
  <si>
    <t>Tipo</t>
  </si>
  <si>
    <t>Lista_Desplegable</t>
  </si>
  <si>
    <t>Salarios</t>
  </si>
  <si>
    <t>Sueldo de Nomina</t>
  </si>
  <si>
    <t>Ingresos extra</t>
  </si>
  <si>
    <t>Freelance, trabajos adicionales</t>
  </si>
  <si>
    <t>Prestaciones</t>
  </si>
  <si>
    <t>Ayudas del estado, Paro</t>
  </si>
  <si>
    <t>Alquiler de propiedades</t>
  </si>
  <si>
    <t>Rendimientos bancarios</t>
  </si>
  <si>
    <t>Devoluciones</t>
  </si>
  <si>
    <t>Hacienda, seguros</t>
  </si>
  <si>
    <t>Otros ingresos</t>
  </si>
  <si>
    <t>Vivienda</t>
  </si>
  <si>
    <t>Alquiler o hipoteca</t>
  </si>
  <si>
    <t>Luz, agua, gas</t>
  </si>
  <si>
    <t>Internet, móvil</t>
  </si>
  <si>
    <t>Seguros</t>
  </si>
  <si>
    <t>Seguro coche, hogar</t>
  </si>
  <si>
    <t>Educación</t>
  </si>
  <si>
    <t>Colegios, cursos</t>
  </si>
  <si>
    <t>Transporte</t>
  </si>
  <si>
    <t>Abono transporte, gasolina</t>
  </si>
  <si>
    <t>Alimentación</t>
  </si>
  <si>
    <t>Supermercado</t>
  </si>
  <si>
    <t>Gasto Variable</t>
  </si>
  <si>
    <t>Restaurantes</t>
  </si>
  <si>
    <t>Comer fuera</t>
  </si>
  <si>
    <t>Compras</t>
  </si>
  <si>
    <t>Ropa, electrónica</t>
  </si>
  <si>
    <t>Farmacia, médicos</t>
  </si>
  <si>
    <t>Ocio</t>
  </si>
  <si>
    <t>Otros Gastos</t>
  </si>
  <si>
    <t>Ahorro</t>
  </si>
  <si>
    <t>%</t>
  </si>
  <si>
    <t>Importe</t>
  </si>
  <si>
    <t>Gasto Fijo</t>
  </si>
  <si>
    <t>Otros, Tranferencias Enviadas</t>
  </si>
  <si>
    <t>Regalos, Transferencias Recibidas</t>
  </si>
  <si>
    <t>tipo</t>
  </si>
  <si>
    <t>Ingreso</t>
  </si>
  <si>
    <t xml:space="preserve">Amortizacion de prestamo </t>
  </si>
  <si>
    <t xml:space="preserve">Remesa Ayudar Familia Cuba </t>
  </si>
  <si>
    <t>Alquileres</t>
  </si>
  <si>
    <t>Financieros</t>
  </si>
  <si>
    <t>Suministros</t>
  </si>
  <si>
    <t>Telecomunicaciones</t>
  </si>
  <si>
    <t>Financiación</t>
  </si>
  <si>
    <t>Sanidad</t>
  </si>
  <si>
    <t>Cine, Netflix, salidas</t>
  </si>
  <si>
    <t>Remesas</t>
  </si>
  <si>
    <t>Utilidad</t>
  </si>
  <si>
    <t>DICIEMBRE</t>
  </si>
  <si>
    <t>NOVIEMBRE</t>
  </si>
  <si>
    <t>OCTUBRE</t>
  </si>
  <si>
    <t>SEPTIEMBRE</t>
  </si>
  <si>
    <t>AGOSTO</t>
  </si>
  <si>
    <t>JULIO</t>
  </si>
  <si>
    <t>JUNIO</t>
  </si>
  <si>
    <t>MAYO</t>
  </si>
  <si>
    <t>ABRIL</t>
  </si>
  <si>
    <t>MARZO</t>
  </si>
  <si>
    <t>FEBRERO</t>
  </si>
  <si>
    <t>ENERO</t>
  </si>
  <si>
    <t>ACUMULADO</t>
  </si>
  <si>
    <t xml:space="preserve">PLAN </t>
  </si>
  <si>
    <t>PLAN 2025</t>
  </si>
  <si>
    <t>KPI</t>
  </si>
  <si>
    <t>Ganacia -Ahorro</t>
  </si>
  <si>
    <t xml:space="preserve">Ingresos Totales </t>
  </si>
  <si>
    <t xml:space="preserve">Gastos Fijos </t>
  </si>
  <si>
    <t xml:space="preserve">Categorias </t>
  </si>
  <si>
    <t>Gastos variable</t>
  </si>
  <si>
    <t xml:space="preserve">Familia Española: Los Emigrantes </t>
  </si>
  <si>
    <t xml:space="preserve">                                      UTILIDADES                                               </t>
  </si>
  <si>
    <t xml:space="preserve">Ganancia /  ingreso </t>
  </si>
  <si>
    <t xml:space="preserve">Gasto Fijo / Ingreso </t>
  </si>
  <si>
    <t xml:space="preserve">Gasto Variable / Ingreso </t>
  </si>
  <si>
    <t xml:space="preserve">Vivienda /  ingreso </t>
  </si>
  <si>
    <t xml:space="preserve">Alimentacion / Ingreso </t>
  </si>
  <si>
    <t>📊 DASHBOARD - PRESUPUESTO FAMILIAR 2025</t>
  </si>
  <si>
    <t>📈 RESUMEN MENSUAL</t>
  </si>
  <si>
    <t>Concepto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</si>
  <si>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</si>
  <si>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</si>
  <si>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</si>
  <si>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</si>
  <si>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</si>
  <si>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</si>
  <si>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</si>
  <si>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</si>
  <si>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</si>
  <si>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</si>
  <si>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</si>
  <si>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</si>
  <si>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Ingresos</t>
  </si>
  <si>
    <t>Gastos Fijos</t>
  </si>
  <si>
    <t>Gastos Variables</t>
  </si>
  <si>
    <t>🥧 DISTRIBUCIÓN DEL PRESUPUESTO ANUAL</t>
  </si>
  <si>
    <t>🚦 INDICADORES CLAVE (KPIs)</t>
  </si>
  <si>
    <t>Indicador</t>
  </si>
  <si>
    <t>Valor</t>
  </si>
  <si>
    <t>Estado</t>
  </si>
  <si>
    <t>Tasa de Ahorro</t>
  </si>
  <si>
    <t>Gastos Fijos / Ingreso</t>
  </si>
  <si>
    <t>Gastos Variables / Ingreso</t>
  </si>
  <si>
    <t>Vivienda / Ingreso</t>
  </si>
  <si>
    <t>📊 DESGLOSE DE GASTOS</t>
  </si>
  <si>
    <t>Importe Anual</t>
  </si>
  <si>
    <t>Otros</t>
  </si>
  <si>
    <t>📌 Nota: Todos los valores se actualizan automáticamente desde la hoja Plan2025</t>
  </si>
  <si>
    <t>🔄 Última actualización:</t>
  </si>
  <si>
    <t>📅 Fecha del Plan</t>
  </si>
  <si>
    <t>28/12/2025</t>
  </si>
  <si>
    <t>🚦 LEYENDA - FORMATO CONDICIONAL KPIs</t>
  </si>
  <si>
    <t>🟢 Verde (Óptimo)</t>
  </si>
  <si>
    <t>🟡 Amarillo (Precaución)</t>
  </si>
  <si>
    <t>🔴 Rojo (Alerta)</t>
  </si>
  <si>
    <t>Ganancia / Ingreso</t>
  </si>
  <si>
    <t>&gt; 15%</t>
  </si>
  <si>
    <t>10% - 15%</t>
  </si>
  <si>
    <t>&lt; 10%</t>
  </si>
  <si>
    <t>Gasto Fijo / Ingreso</t>
  </si>
  <si>
    <t>&lt; 30%</t>
  </si>
  <si>
    <t>&gt; 50%</t>
  </si>
  <si>
    <t>Gasto Variable / Ingreso</t>
  </si>
  <si>
    <t>30% - 35%</t>
  </si>
  <si>
    <t>&gt; 35%</t>
  </si>
  <si>
    <t>Alimentación / Ingreso</t>
  </si>
  <si>
    <t>&lt; 15%</t>
  </si>
  <si>
    <t>15% - 25%</t>
  </si>
  <si>
    <t>&gt; 25%</t>
  </si>
  <si>
    <t>📌 Nota: Los colores del formato condicional de los KPIs (filas 33-37) siguen estos umbrales estándar de finanzas personales.</t>
  </si>
  <si>
    <t>&lt; 45%</t>
  </si>
  <si>
    <t>45% - 50%</t>
  </si>
  <si>
    <t>&lt; 35%</t>
  </si>
  <si>
    <t>35% - 40%</t>
  </si>
  <si>
    <t>&gt; 40%</t>
  </si>
  <si>
    <t>🏠 GASTO FIJO</t>
  </si>
  <si>
    <t>🛒 GASTO VARIABLE</t>
  </si>
  <si>
    <t>💰 INGRESO TOTAL</t>
  </si>
  <si>
    <t>💵 UTILIDAD</t>
  </si>
  <si>
    <t>📚 GUÍA DEL USUARIO - PRESUPUESTO FAMILIAR 2025</t>
  </si>
  <si>
    <t>👋 BIENVENIDO</t>
  </si>
  <si>
    <t>Este libro te ayuda a planificar tus finanzas siguiendo la regla 50/30/20:</t>
  </si>
  <si>
    <t>• 50% máximo en Gastos Fijos (vivienda, suministros, seguros)</t>
  </si>
  <si>
    <t>• 30% máximo en Gastos Variables (alimentación, ocio, compras)</t>
  </si>
  <si>
    <t>• 20% mínimo en Ahorro/Utilidades</t>
  </si>
  <si>
    <t>📁 ESTRUCTURA DEL LIBRO</t>
  </si>
  <si>
    <t>Hoja</t>
  </si>
  <si>
    <t>Propósito</t>
  </si>
  <si>
    <t>Uso</t>
  </si>
  <si>
    <t>Editable</t>
  </si>
  <si>
    <t>📋 Categorías</t>
  </si>
  <si>
    <t>Catálogo maestro</t>
  </si>
  <si>
    <t>Define categorías</t>
  </si>
  <si>
    <t>✅ Sí</t>
  </si>
  <si>
    <t>📝 Plan-Patron</t>
  </si>
  <si>
    <t>Entrada de datos</t>
  </si>
  <si>
    <t>Ingresa tu plan mensual</t>
  </si>
  <si>
    <t>📊 Plan2025</t>
  </si>
  <si>
    <t>Almacén anual</t>
  </si>
  <si>
    <t>Datos + KPIs</t>
  </si>
  <si>
    <t>📈 Dashboard</t>
  </si>
  <si>
    <t>Resumen visual</t>
  </si>
  <si>
    <t>Visualiza situación</t>
  </si>
  <si>
    <t>❌ No</t>
  </si>
  <si>
    <t>🚀 CÓMO USAR EL SISTEMA (PASO A PASO)</t>
  </si>
  <si>
    <t>Ve a 'Plan-Patron' y selecciona la fecha del mes (celda D3)</t>
  </si>
  <si>
    <t>Revisa el gráfico circular para ver la distribución</t>
  </si>
  <si>
    <t>Pulsa '📥 Insertar Plan' para transferir a Plan2025</t>
  </si>
  <si>
    <t>Pulsa '🗑️ Limpiar Plan' para reiniciar</t>
  </si>
  <si>
    <t>📖 DESCRIPCIÓN DETALLADA DE CADA HOJA</t>
  </si>
  <si>
    <t>📋 HOJA: CATEGORÍAS</t>
  </si>
  <si>
    <t>• 7 categorías de INGRESO</t>
  </si>
  <si>
    <t>• 6 categorías de GASTO FIJO</t>
  </si>
  <si>
    <t>• 8 categorías de GASTO VARIABLE</t>
  </si>
  <si>
    <t>• 1 categoría de UTILIDAD (Ahorro)</t>
  </si>
  <si>
    <t>📝 HOJA: PLAN-PATRON</t>
  </si>
  <si>
    <t>Interfaz principal de entrada de datos:</t>
  </si>
  <si>
    <t>• Selecciona la fecha del mes a planificar</t>
  </si>
  <si>
    <t>• Ingresa importes para cada categoría</t>
  </si>
  <si>
    <t>• El tipo se completa automáticamente (BUSCARX)</t>
  </si>
  <si>
    <t>• Gráfico circular muestra la distribución</t>
  </si>
  <si>
    <t>📊 HOJA: PLAN2025</t>
  </si>
  <si>
    <t>Almacena todos los datos del año:</t>
  </si>
  <si>
    <t>• Columnas C-N: Datos mensuales (Ene-Dic)</t>
  </si>
  <si>
    <t>• Columnas O-Z: Acumulados mensuales</t>
  </si>
  <si>
    <t>• Filas 33-37: KPIs con formato semáforo</t>
  </si>
  <si>
    <t>📈 HOJA: DASHBOARD</t>
  </si>
  <si>
    <t>Resumen ejecutivo visual con:</t>
  </si>
  <si>
    <t>• Tarjetas de totales anuales</t>
  </si>
  <si>
    <t>• Gráfico de barras: Comparativo mensual</t>
  </si>
  <si>
    <t>• Gráfico de líneas: Tendencia de ahorro</t>
  </si>
  <si>
    <t>• Gráfico de dona: Distribución presupuesto</t>
  </si>
  <si>
    <t>🧮 FÓRMULAS Y FUNCIONES UTILIZADAS</t>
  </si>
  <si>
    <t>Función</t>
  </si>
  <si>
    <t>Sintaxis</t>
  </si>
  <si>
    <t>Uso en el proyecto</t>
  </si>
  <si>
    <t>Ejemplo</t>
  </si>
  <si>
    <t>SUMA</t>
  </si>
  <si>
    <t>Calcular totales</t>
  </si>
  <si>
    <t>SI.ERROR</t>
  </si>
  <si>
    <t>BUSCARX</t>
  </si>
  <si>
    <t>Evitar DIV0 en KPIs</t>
  </si>
  <si>
    <t>Obtener tipo categoria</t>
  </si>
  <si>
    <t>CONCATENAR</t>
  </si>
  <si>
    <t>Lista desplegable</t>
  </si>
  <si>
    <t>TEXTO</t>
  </si>
  <si>
    <t>Formatear moneda</t>
  </si>
  <si>
    <t>HOY</t>
  </si>
  <si>
    <t>Fecha automatica</t>
  </si>
  <si>
    <t>🚦 INDICADORES CLAVE (KPIs) Y FORMATO SEMAFORO</t>
  </si>
  <si>
    <t>Formula</t>
  </si>
  <si>
    <t>Verde</t>
  </si>
  <si>
    <t>Amarillo</t>
  </si>
  <si>
    <t>Rojo</t>
  </si>
  <si>
    <t>Utilidades / Ingresos</t>
  </si>
  <si>
    <t>Mayor 15%</t>
  </si>
  <si>
    <t>Menor 10%</t>
  </si>
  <si>
    <t>G.Fijos / Ingresos</t>
  </si>
  <si>
    <t>Menor 45%</t>
  </si>
  <si>
    <t>Mayor 50%</t>
  </si>
  <si>
    <t>G.Variables / Ingresos</t>
  </si>
  <si>
    <t>Menor 35%</t>
  </si>
  <si>
    <t>Mayor 40%</t>
  </si>
  <si>
    <t>Vivienda / Ingresos</t>
  </si>
  <si>
    <t>Menor 30%</t>
  </si>
  <si>
    <t>Mayor 35%</t>
  </si>
  <si>
    <t>Alimentacion / Ingreso</t>
  </si>
  <si>
    <t>Alimentacion / Ingresos</t>
  </si>
  <si>
    <t>Menor 15%</t>
  </si>
  <si>
    <t>Mayor 25%</t>
  </si>
  <si>
    <t>⚙️ AUTOMATIZACION CON MACROS VBA</t>
  </si>
  <si>
    <t>Boton</t>
  </si>
  <si>
    <t>Macro</t>
  </si>
  <si>
    <t>Descripcion</t>
  </si>
  <si>
    <t>Insertar Plan</t>
  </si>
  <si>
    <t>InsertarPlan()</t>
  </si>
  <si>
    <t>Transfiere datos del Plan-Patron al mes en Plan2025</t>
  </si>
  <si>
    <t>Limpiar Plan</t>
  </si>
  <si>
    <t>LimpiarPlan()</t>
  </si>
  <si>
    <t>Reinicia importes del Plan-Patron a cero</t>
  </si>
  <si>
    <t>🎨 LEYENDA DE COLORES EN LAS HOJAS</t>
  </si>
  <si>
    <t>Color</t>
  </si>
  <si>
    <t>Significado</t>
  </si>
  <si>
    <t>Accion del usuario</t>
  </si>
  <si>
    <t>Blanco</t>
  </si>
  <si>
    <t>Celda editable</t>
  </si>
  <si>
    <t>Puedes escribir datos aqui</t>
  </si>
  <si>
    <t>Azul claro</t>
  </si>
  <si>
    <t>Celda con formula</t>
  </si>
  <si>
    <t>Campo importante</t>
  </si>
  <si>
    <t>Campo obligatorio o destacado</t>
  </si>
  <si>
    <t>Semaforo</t>
  </si>
  <si>
    <t>Formato condicional</t>
  </si>
  <si>
    <t>Indica estado de tus finanzas</t>
  </si>
  <si>
    <t>💡 CONSEJOS PARA MEJORAR TUS FINANZAS</t>
  </si>
  <si>
    <t>1. Revisa tus KPIs cada mes - Si estan en rojo, ajusta tu plan</t>
  </si>
  <si>
    <t>3. Prioriza el ahorro - Aunque sea poco, el habito importa</t>
  </si>
  <si>
    <t>4. Revisa gastos variables - Son los mas faciles de reducir</t>
  </si>
  <si>
    <t>5. Planifica antes de gastar - Usa Plan-Patron al inicio del mes</t>
  </si>
  <si>
    <t>6. Consulta el Dashboard - Te da vision global del progreso</t>
  </si>
  <si>
    <t>Este proyecto forma parte de una serie educativa de YouTube sobre finanzas y tecnologia.</t>
  </si>
  <si>
    <t>Ve a 'Categorias' y Ajusta las Categorias segun tu necesidad.</t>
  </si>
  <si>
    <t>Ingresa las categorias segun hoja de categorias y sus importes</t>
  </si>
  <si>
    <t>Ve a 'Plan2025' y Ajusta por meses si es necesario puedes ayudarte de los KIP que para una mejor planificacion.</t>
  </si>
  <si>
    <t>Ve al Dashboard para ver el resumen visual.</t>
  </si>
  <si>
    <t>Paso 8</t>
  </si>
  <si>
    <t>Paso 1</t>
  </si>
  <si>
    <t>Paso 2</t>
  </si>
  <si>
    <t>Paso 3</t>
  </si>
  <si>
    <t>Paso 4</t>
  </si>
  <si>
    <t>Paso 5</t>
  </si>
  <si>
    <t>Paso 6</t>
  </si>
  <si>
    <t>Paso 7</t>
  </si>
  <si>
    <t>Catálogo maestro con 22 categorías predefinidas:   Puedes Ajustarlas a tu situción Personal</t>
  </si>
  <si>
    <t>SI.ERROR(calculo, valor)</t>
  </si>
  <si>
    <t>SUMA(rango)</t>
  </si>
  <si>
    <t>BUSCARX(buscar, donde, devolver)</t>
  </si>
  <si>
    <t>celda1 &amp; TEXTO &amp; celda2</t>
  </si>
  <si>
    <t>TEXTO(valor, formato)</t>
  </si>
  <si>
    <t>HOY()</t>
  </si>
  <si>
    <t>SUMA(C5:C11)</t>
  </si>
  <si>
    <t>SI.ERROR(C32/C12,0)</t>
  </si>
  <si>
    <t>BUSCARX(A2,Tabla,Tipo)</t>
  </si>
  <si>
    <t>C2&amp;" - "&amp;A2</t>
  </si>
  <si>
    <t>TEXTO(B12,"0")&amp;" E"</t>
  </si>
  <si>
    <t>ListaCategoria</t>
  </si>
  <si>
    <t>Lista Desplegable</t>
  </si>
  <si>
    <t>Para Evitar que se intruduscan datos erroneos en las categorias ya definidas.</t>
  </si>
  <si>
    <t>NO modificar - se calcula solo, Estan Bloqueadas</t>
  </si>
  <si>
    <t>2. La regla 50/30/20 es una guia - Adaptala a tu situacion.</t>
  </si>
  <si>
    <t xml:space="preserve">Version 1.0 | Abril 2026 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</si>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</sst>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5" formatCode="0.0"/>
    <numFmt numFmtId="166" formatCode="0.0000"/>
    <numFmt numFmtId="167" formatCode="#,##0\ \€"/>
    <numFmt numFmtId="168" formatCode="0.0%"/>
    <numFmt numFmtId="170" formatCode="dd/mm/yyyy"/>
  </numFmts>
  <fonts count="4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0"/>
      <name val="Arial"/>
    </font>
    <font>
      <sz val="9"/>
      <name val="Arial"/>
      <family val="2"/>
    </font>
    <font>
      <sz val="9"/>
      <color indexed="12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8"/>
      <name val="Trebuchet MS"/>
      <family val="2"/>
    </font>
    <font>
      <sz val="18"/>
      <name val="Trebuchet MS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24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Segoe UI"/>
      <family val="2"/>
    </font>
    <font>
      <sz val="18"/>
      <name val="Calibri"/>
      <family val="2"/>
      <scheme val="minor"/>
    </font>
    <font>
      <b/>
      <sz val="20"/>
      <color rgb="FF1F4E7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9"/>
      <color rgb="FF006100"/>
      <name val="Arial"/>
      <family val="2"/>
    </font>
    <font>
      <b/>
      <sz val="9"/>
      <color rgb="FF9C5700"/>
      <name val="Arial"/>
      <family val="2"/>
    </font>
    <font>
      <sz val="9"/>
      <color rgb="FF9C0006"/>
      <name val="Arial"/>
      <family val="2"/>
    </font>
    <font>
      <b/>
      <i/>
      <sz val="10"/>
      <color rgb="FF666666"/>
      <name val="Arial"/>
      <family val="2"/>
    </font>
    <font>
      <b/>
      <sz val="12"/>
      <color rgb="FF1F4E79"/>
      <name val="Arial"/>
      <family val="2"/>
    </font>
    <font>
      <b/>
      <sz val="9"/>
      <color rgb="FFFFFFFF"/>
      <name val="Arial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8"/>
      <color rgb="FF1F4E79"/>
      <name val="Calibri"/>
      <family val="2"/>
      <scheme val="minor"/>
    </font>
    <font>
      <b/>
      <sz val="13"/>
      <color rgb="FF2E75B6"/>
      <name val="Calibri"/>
      <family val="2"/>
      <scheme val="minor"/>
    </font>
    <font>
      <i/>
      <sz val="11"/>
      <color rgb="FF666666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D6DCE4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88D8D"/>
        <bgColor indexed="64"/>
      </patternFill>
    </fill>
    <fill>
      <patternFill patternType="solid">
        <fgColor rgb="FFD6E3F8"/>
        <bgColor indexed="64"/>
      </patternFill>
    </fill>
    <fill>
      <patternFill patternType="solid">
        <fgColor rgb="FFFFFFFF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7" fillId="0" borderId="0"/>
    <xf numFmtId="0" fontId="14" fillId="0" borderId="0"/>
  </cellStyleXfs>
  <cellXfs count="147">
    <xf numFmtId="0" fontId="0" fillId="0" borderId="0" xfId="0"/>
    <xf numFmtId="0" fontId="3" fillId="0" borderId="4" xfId="0" applyFont="1" applyBorder="1" applyAlignment="1">
      <alignment vertical="center" wrapText="1"/>
    </xf>
    <xf numFmtId="0" fontId="0" fillId="0" borderId="5" xfId="0" applyBorder="1"/>
    <xf numFmtId="0" fontId="8" fillId="0" borderId="0" xfId="2" applyFont="1"/>
    <xf numFmtId="0" fontId="8" fillId="0" borderId="0" xfId="2" applyFont="1" applyAlignment="1">
      <alignment horizontal="left"/>
    </xf>
    <xf numFmtId="0" fontId="9" fillId="0" borderId="0" xfId="2" applyFont="1" applyAlignment="1">
      <alignment horizontal="left"/>
    </xf>
    <xf numFmtId="0" fontId="10" fillId="0" borderId="0" xfId="2" applyFont="1" applyAlignment="1">
      <alignment horizontal="left"/>
    </xf>
    <xf numFmtId="0" fontId="10" fillId="0" borderId="0" xfId="2" applyFont="1"/>
    <xf numFmtId="165" fontId="11" fillId="0" borderId="0" xfId="2" applyNumberFormat="1" applyFont="1" applyAlignment="1">
      <alignment horizontal="left"/>
    </xf>
    <xf numFmtId="165" fontId="8" fillId="0" borderId="0" xfId="2" applyNumberFormat="1" applyFont="1"/>
    <xf numFmtId="0" fontId="10" fillId="0" borderId="10" xfId="2" applyFont="1" applyBorder="1" applyProtection="1">
      <protection locked="0"/>
    </xf>
    <xf numFmtId="0" fontId="10" fillId="0" borderId="11" xfId="2" applyFont="1" applyBorder="1" applyProtection="1">
      <protection locked="0"/>
    </xf>
    <xf numFmtId="0" fontId="10" fillId="0" borderId="11" xfId="2" applyFont="1" applyBorder="1" applyAlignment="1" applyProtection="1">
      <alignment horizontal="left"/>
      <protection locked="0"/>
    </xf>
    <xf numFmtId="0" fontId="21" fillId="0" borderId="11" xfId="2" applyFont="1" applyBorder="1" applyProtection="1">
      <protection locked="0"/>
    </xf>
    <xf numFmtId="0" fontId="12" fillId="0" borderId="12" xfId="2" applyFont="1" applyBorder="1" applyProtection="1">
      <protection locked="0"/>
    </xf>
    <xf numFmtId="165" fontId="16" fillId="0" borderId="10" xfId="2" applyNumberFormat="1" applyFont="1" applyBorder="1" applyAlignment="1" applyProtection="1">
      <alignment horizontal="center"/>
      <protection locked="0"/>
    </xf>
    <xf numFmtId="165" fontId="16" fillId="0" borderId="11" xfId="2" applyNumberFormat="1" applyFont="1" applyBorder="1" applyAlignment="1" applyProtection="1">
      <alignment horizontal="center"/>
      <protection locked="0"/>
    </xf>
    <xf numFmtId="165" fontId="10" fillId="0" borderId="11" xfId="2" applyNumberFormat="1" applyFont="1" applyBorder="1" applyAlignment="1" applyProtection="1">
      <alignment horizontal="left"/>
      <protection locked="0"/>
    </xf>
    <xf numFmtId="165" fontId="12" fillId="0" borderId="11" xfId="2" applyNumberFormat="1" applyFont="1" applyBorder="1" applyAlignment="1" applyProtection="1">
      <alignment horizontal="left"/>
      <protection locked="0"/>
    </xf>
    <xf numFmtId="0" fontId="20" fillId="0" borderId="11" xfId="2" applyFont="1" applyBorder="1" applyAlignment="1" applyProtection="1">
      <alignment horizontal="left"/>
      <protection locked="0"/>
    </xf>
    <xf numFmtId="0" fontId="20" fillId="0" borderId="12" xfId="2" applyFont="1" applyBorder="1" applyAlignment="1" applyProtection="1">
      <alignment horizontal="left"/>
      <protection locked="0"/>
    </xf>
    <xf numFmtId="0" fontId="22" fillId="8" borderId="1" xfId="0" applyFont="1" applyFill="1" applyBorder="1" applyAlignment="1">
      <alignment horizontal="center" vertical="center" wrapText="1"/>
    </xf>
    <xf numFmtId="0" fontId="23" fillId="7" borderId="0" xfId="0" applyFont="1" applyFill="1"/>
    <xf numFmtId="0" fontId="23" fillId="0" borderId="0" xfId="0" applyFont="1"/>
    <xf numFmtId="0" fontId="22" fillId="2" borderId="5" xfId="0" applyFont="1" applyFill="1" applyBorder="1" applyAlignment="1" applyProtection="1">
      <alignment horizontal="center" vertical="center" wrapText="1"/>
    </xf>
    <xf numFmtId="0" fontId="24" fillId="2" borderId="5" xfId="0" applyFont="1" applyFill="1" applyBorder="1" applyProtection="1"/>
    <xf numFmtId="165" fontId="18" fillId="7" borderId="5" xfId="2" applyNumberFormat="1" applyFont="1" applyFill="1" applyBorder="1" applyAlignment="1" applyProtection="1">
      <alignment horizontal="right"/>
      <protection locked="0"/>
    </xf>
    <xf numFmtId="165" fontId="18" fillId="7" borderId="15" xfId="3" applyNumberFormat="1" applyFont="1" applyFill="1" applyBorder="1" applyAlignment="1" applyProtection="1">
      <alignment horizontal="right"/>
      <protection locked="0"/>
    </xf>
    <xf numFmtId="0" fontId="20" fillId="0" borderId="12" xfId="2" applyFont="1" applyBorder="1" applyAlignment="1" applyProtection="1">
      <alignment horizontal="left"/>
      <protection locked="0"/>
    </xf>
    <xf numFmtId="0" fontId="20" fillId="0" borderId="11" xfId="2" applyFont="1" applyBorder="1" applyAlignment="1" applyProtection="1">
      <alignment horizontal="left"/>
      <protection locked="0"/>
    </xf>
    <xf numFmtId="0" fontId="0" fillId="0" borderId="0" xfId="0"/>
    <xf numFmtId="0" fontId="28" fillId="9" borderId="0" xfId="0" applyFont="1" applyFill="1" applyAlignment="1">
      <alignment horizontal="center"/>
    </xf>
    <xf numFmtId="0" fontId="29" fillId="10" borderId="0" xfId="0" applyFont="1" applyFill="1" applyAlignment="1">
      <alignment horizontal="center"/>
    </xf>
    <xf numFmtId="167" fontId="30" fillId="11" borderId="0" xfId="0" applyNumberFormat="1" applyFont="1" applyFill="1" applyAlignment="1">
      <alignment horizontal="center"/>
    </xf>
    <xf numFmtId="0" fontId="29" fillId="12" borderId="0" xfId="0" applyFont="1" applyFill="1"/>
    <xf numFmtId="0" fontId="29" fillId="12" borderId="0" xfId="0" applyFont="1" applyFill="1" applyAlignment="1">
      <alignment horizontal="center"/>
    </xf>
    <xf numFmtId="167" fontId="30" fillId="13" borderId="0" xfId="0" applyNumberFormat="1" applyFont="1" applyFill="1" applyAlignment="1">
      <alignment horizontal="center"/>
    </xf>
    <xf numFmtId="0" fontId="29" fillId="14" borderId="0" xfId="0" applyFont="1" applyFill="1"/>
    <xf numFmtId="0" fontId="29" fillId="14" borderId="0" xfId="0" applyFont="1" applyFill="1" applyAlignment="1">
      <alignment horizontal="center"/>
    </xf>
    <xf numFmtId="167" fontId="30" fillId="15" borderId="0" xfId="0" applyNumberFormat="1" applyFont="1" applyFill="1" applyAlignment="1">
      <alignment horizontal="center"/>
    </xf>
    <xf numFmtId="167" fontId="30" fillId="17" borderId="0" xfId="0" applyNumberFormat="1" applyFont="1" applyFill="1" applyAlignment="1">
      <alignment horizontal="center"/>
    </xf>
    <xf numFmtId="0" fontId="31" fillId="0" borderId="0" xfId="0" applyFont="1"/>
    <xf numFmtId="0" fontId="29" fillId="18" borderId="5" xfId="0" applyFont="1" applyFill="1" applyBorder="1" applyAlignment="1">
      <alignment horizontal="center"/>
    </xf>
    <xf numFmtId="0" fontId="29" fillId="10" borderId="5" xfId="0" applyFont="1" applyFill="1" applyBorder="1"/>
    <xf numFmtId="3" fontId="0" fillId="0" borderId="5" xfId="0" applyNumberFormat="1" applyBorder="1" applyAlignment="1">
      <alignment horizontal="center"/>
    </xf>
    <xf numFmtId="0" fontId="29" fillId="12" borderId="5" xfId="0" applyFont="1" applyFill="1" applyBorder="1"/>
    <xf numFmtId="0" fontId="29" fillId="14" borderId="5" xfId="0" applyFont="1" applyFill="1" applyBorder="1"/>
    <xf numFmtId="0" fontId="29" fillId="16" borderId="5" xfId="0" applyFont="1" applyFill="1" applyBorder="1"/>
    <xf numFmtId="167" fontId="0" fillId="0" borderId="0" xfId="0" applyNumberFormat="1"/>
    <xf numFmtId="0" fontId="29" fillId="18" borderId="5" xfId="0" applyFont="1" applyFill="1" applyBorder="1"/>
    <xf numFmtId="167" fontId="0" fillId="0" borderId="5" xfId="0" applyNumberFormat="1" applyBorder="1"/>
    <xf numFmtId="168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19" borderId="5" xfId="0" applyFill="1" applyBorder="1"/>
    <xf numFmtId="0" fontId="1" fillId="6" borderId="5" xfId="0" applyFont="1" applyFill="1" applyBorder="1" applyAlignment="1" applyProtection="1">
      <alignment vertical="center" wrapText="1"/>
      <protection locked="0"/>
    </xf>
    <xf numFmtId="0" fontId="0" fillId="6" borderId="5" xfId="0" applyFill="1" applyBorder="1" applyProtection="1">
      <protection locked="0"/>
    </xf>
    <xf numFmtId="0" fontId="1" fillId="7" borderId="5" xfId="0" applyFont="1" applyFill="1" applyBorder="1" applyAlignment="1" applyProtection="1">
      <alignment vertical="center" wrapText="1"/>
      <protection locked="0"/>
    </xf>
    <xf numFmtId="0" fontId="5" fillId="7" borderId="0" xfId="0" applyFont="1" applyFill="1" applyProtection="1">
      <protection locked="0"/>
    </xf>
    <xf numFmtId="0" fontId="0" fillId="7" borderId="5" xfId="0" applyFill="1" applyBorder="1" applyAlignment="1" applyProtection="1">
      <alignment vertical="center" wrapText="1"/>
      <protection locked="0"/>
    </xf>
    <xf numFmtId="0" fontId="0" fillId="7" borderId="5" xfId="0" applyFill="1" applyBorder="1" applyProtection="1">
      <protection locked="0"/>
    </xf>
    <xf numFmtId="0" fontId="0" fillId="6" borderId="5" xfId="0" applyFill="1" applyBorder="1" applyAlignment="1" applyProtection="1">
      <alignment vertical="center" wrapText="1"/>
      <protection locked="0"/>
    </xf>
    <xf numFmtId="0" fontId="0" fillId="7" borderId="6" xfId="0" applyFill="1" applyBorder="1" applyAlignment="1" applyProtection="1">
      <alignment vertical="center" wrapText="1"/>
      <protection locked="0"/>
    </xf>
    <xf numFmtId="0" fontId="0" fillId="7" borderId="6" xfId="0" applyFill="1" applyBorder="1" applyProtection="1">
      <protection locked="0"/>
    </xf>
    <xf numFmtId="0" fontId="3" fillId="7" borderId="5" xfId="0" applyFont="1" applyFill="1" applyBorder="1" applyProtection="1">
      <protection locked="0"/>
    </xf>
    <xf numFmtId="0" fontId="3" fillId="7" borderId="5" xfId="0" applyFont="1" applyFill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24" fillId="19" borderId="1" xfId="0" applyFont="1" applyFill="1" applyBorder="1" applyProtection="1"/>
    <xf numFmtId="0" fontId="0" fillId="19" borderId="2" xfId="0" applyFill="1" applyBorder="1" applyProtection="1"/>
    <xf numFmtId="0" fontId="0" fillId="19" borderId="3" xfId="0" applyFill="1" applyBorder="1" applyProtection="1"/>
    <xf numFmtId="0" fontId="0" fillId="19" borderId="5" xfId="0" applyFill="1" applyBorder="1" applyProtection="1"/>
    <xf numFmtId="0" fontId="0" fillId="19" borderId="0" xfId="0" applyFill="1" applyProtection="1"/>
    <xf numFmtId="0" fontId="1" fillId="6" borderId="2" xfId="0" applyFont="1" applyFill="1" applyBorder="1" applyAlignment="1" applyProtection="1">
      <alignment vertical="center" wrapText="1"/>
      <protection locked="0"/>
    </xf>
    <xf numFmtId="0" fontId="0" fillId="7" borderId="0" xfId="0" applyFill="1" applyProtection="1">
      <protection locked="0"/>
    </xf>
    <xf numFmtId="0" fontId="0" fillId="4" borderId="0" xfId="0" applyFill="1" applyProtection="1">
      <protection locked="0"/>
    </xf>
    <xf numFmtId="0" fontId="23" fillId="19" borderId="0" xfId="0" applyFont="1" applyFill="1" applyProtection="1"/>
    <xf numFmtId="0" fontId="3" fillId="19" borderId="23" xfId="0" applyFont="1" applyFill="1" applyBorder="1" applyAlignment="1" applyProtection="1">
      <alignment vertical="center" wrapText="1"/>
    </xf>
    <xf numFmtId="9" fontId="0" fillId="19" borderId="0" xfId="1" applyFont="1" applyFill="1" applyProtection="1"/>
    <xf numFmtId="0" fontId="3" fillId="19" borderId="4" xfId="0" applyFont="1" applyFill="1" applyBorder="1" applyAlignment="1" applyProtection="1">
      <alignment vertical="center" wrapText="1"/>
    </xf>
    <xf numFmtId="0" fontId="32" fillId="5" borderId="0" xfId="0" applyFont="1" applyFill="1" applyAlignment="1">
      <alignment horizontal="center"/>
    </xf>
    <xf numFmtId="170" fontId="6" fillId="7" borderId="25" xfId="0" applyNumberFormat="1" applyFont="1" applyFill="1" applyBorder="1" applyAlignment="1">
      <alignment horizontal="center"/>
    </xf>
    <xf numFmtId="0" fontId="29" fillId="16" borderId="0" xfId="0" applyFont="1" applyFill="1" applyAlignment="1"/>
    <xf numFmtId="0" fontId="29" fillId="7" borderId="0" xfId="0" applyFont="1" applyFill="1" applyAlignment="1"/>
    <xf numFmtId="167" fontId="30" fillId="7" borderId="0" xfId="0" applyNumberFormat="1" applyFont="1" applyFill="1" applyAlignment="1">
      <alignment horizontal="center"/>
    </xf>
    <xf numFmtId="0" fontId="39" fillId="0" borderId="26" xfId="0" applyFont="1" applyBorder="1"/>
    <xf numFmtId="0" fontId="23" fillId="0" borderId="27" xfId="0" applyFont="1" applyBorder="1"/>
    <xf numFmtId="0" fontId="23" fillId="0" borderId="28" xfId="0" applyFont="1" applyBorder="1"/>
    <xf numFmtId="0" fontId="40" fillId="0" borderId="24" xfId="0" applyFont="1" applyBorder="1"/>
    <xf numFmtId="14" fontId="40" fillId="0" borderId="24" xfId="0" applyNumberFormat="1" applyFont="1" applyBorder="1"/>
    <xf numFmtId="0" fontId="41" fillId="26" borderId="0" xfId="0" applyFont="1" applyFill="1"/>
    <xf numFmtId="0" fontId="42" fillId="0" borderId="0" xfId="0" applyFont="1"/>
    <xf numFmtId="0" fontId="6" fillId="20" borderId="0" xfId="0" applyFont="1" applyFill="1"/>
    <xf numFmtId="0" fontId="6" fillId="11" borderId="0" xfId="0" applyFont="1" applyFill="1"/>
    <xf numFmtId="0" fontId="0" fillId="11" borderId="0" xfId="0" applyFill="1"/>
    <xf numFmtId="0" fontId="43" fillId="0" borderId="0" xfId="0" applyFont="1"/>
    <xf numFmtId="0" fontId="0" fillId="24" borderId="5" xfId="0" applyFill="1" applyBorder="1"/>
    <xf numFmtId="0" fontId="0" fillId="22" borderId="5" xfId="0" applyFill="1" applyBorder="1"/>
    <xf numFmtId="0" fontId="0" fillId="25" borderId="5" xfId="0" applyFill="1" applyBorder="1"/>
    <xf numFmtId="0" fontId="0" fillId="27" borderId="5" xfId="0" applyFill="1" applyBorder="1"/>
    <xf numFmtId="0" fontId="0" fillId="4" borderId="5" xfId="0" applyFill="1" applyBorder="1"/>
    <xf numFmtId="0" fontId="0" fillId="0" borderId="0" xfId="0" applyFill="1" applyBorder="1"/>
    <xf numFmtId="0" fontId="27" fillId="3" borderId="7" xfId="0" applyFont="1" applyFill="1" applyBorder="1" applyAlignment="1" applyProtection="1">
      <alignment horizontal="center" vertical="center" wrapText="1"/>
    </xf>
    <xf numFmtId="165" fontId="17" fillId="5" borderId="15" xfId="2" applyNumberFormat="1" applyFont="1" applyFill="1" applyBorder="1" applyAlignment="1" applyProtection="1">
      <alignment horizontal="right"/>
    </xf>
    <xf numFmtId="0" fontId="25" fillId="6" borderId="22" xfId="0" applyFont="1" applyFill="1" applyBorder="1" applyAlignment="1" applyProtection="1">
      <alignment vertical="center" wrapText="1"/>
    </xf>
    <xf numFmtId="165" fontId="17" fillId="0" borderId="15" xfId="2" applyNumberFormat="1" applyFont="1" applyBorder="1" applyAlignment="1" applyProtection="1">
      <alignment horizontal="right"/>
    </xf>
    <xf numFmtId="165" fontId="17" fillId="0" borderId="14" xfId="2" applyNumberFormat="1" applyFont="1" applyBorder="1" applyAlignment="1" applyProtection="1">
      <alignment horizontal="right"/>
    </xf>
    <xf numFmtId="165" fontId="17" fillId="5" borderId="19" xfId="2" applyNumberFormat="1" applyFont="1" applyFill="1" applyBorder="1" applyAlignment="1" applyProtection="1">
      <alignment horizontal="right"/>
    </xf>
    <xf numFmtId="165" fontId="17" fillId="5" borderId="14" xfId="2" applyNumberFormat="1" applyFont="1" applyFill="1" applyBorder="1" applyAlignment="1" applyProtection="1">
      <alignment horizontal="right"/>
    </xf>
    <xf numFmtId="0" fontId="16" fillId="5" borderId="17" xfId="2" applyFont="1" applyFill="1" applyBorder="1" applyAlignment="1" applyProtection="1">
      <alignment horizontal="center"/>
    </xf>
    <xf numFmtId="0" fontId="15" fillId="0" borderId="18" xfId="2" applyFont="1" applyBorder="1" applyAlignment="1" applyProtection="1">
      <alignment vertical="center" wrapText="1"/>
    </xf>
    <xf numFmtId="165" fontId="18" fillId="0" borderId="15" xfId="2" applyNumberFormat="1" applyFont="1" applyBorder="1" applyAlignment="1" applyProtection="1">
      <alignment horizontal="right"/>
    </xf>
    <xf numFmtId="165" fontId="18" fillId="0" borderId="14" xfId="2" applyNumberFormat="1" applyFont="1" applyBorder="1" applyAlignment="1" applyProtection="1">
      <alignment horizontal="right"/>
    </xf>
    <xf numFmtId="165" fontId="18" fillId="0" borderId="19" xfId="2" applyNumberFormat="1" applyFont="1" applyBorder="1" applyAlignment="1" applyProtection="1">
      <alignment horizontal="right"/>
    </xf>
    <xf numFmtId="0" fontId="16" fillId="0" borderId="18" xfId="2" applyFont="1" applyBorder="1" applyAlignment="1" applyProtection="1">
      <alignment horizontal="center" vertical="center" wrapText="1"/>
    </xf>
    <xf numFmtId="165" fontId="18" fillId="0" borderId="5" xfId="2" applyNumberFormat="1" applyFont="1" applyBorder="1" applyAlignment="1" applyProtection="1">
      <alignment horizontal="right"/>
    </xf>
    <xf numFmtId="165" fontId="18" fillId="0" borderId="13" xfId="2" applyNumberFormat="1" applyFont="1" applyBorder="1" applyAlignment="1" applyProtection="1">
      <alignment horizontal="right"/>
    </xf>
    <xf numFmtId="165" fontId="18" fillId="0" borderId="16" xfId="2" applyNumberFormat="1" applyFont="1" applyBorder="1" applyAlignment="1" applyProtection="1">
      <alignment horizontal="right"/>
    </xf>
    <xf numFmtId="0" fontId="16" fillId="5" borderId="17" xfId="2" applyFont="1" applyFill="1" applyBorder="1" applyProtection="1"/>
    <xf numFmtId="166" fontId="17" fillId="5" borderId="5" xfId="2" applyNumberFormat="1" applyFont="1" applyFill="1" applyBorder="1" applyAlignment="1" applyProtection="1">
      <alignment horizontal="right"/>
    </xf>
    <xf numFmtId="0" fontId="10" fillId="0" borderId="0" xfId="2" applyFont="1" applyProtection="1"/>
    <xf numFmtId="0" fontId="10" fillId="0" borderId="0" xfId="2" applyFont="1" applyAlignment="1" applyProtection="1">
      <alignment horizontal="left"/>
    </xf>
    <xf numFmtId="0" fontId="9" fillId="0" borderId="0" xfId="2" applyFont="1" applyAlignment="1" applyProtection="1">
      <alignment horizontal="left"/>
    </xf>
    <xf numFmtId="0" fontId="8" fillId="0" borderId="0" xfId="2" applyFont="1" applyAlignment="1" applyProtection="1">
      <alignment horizontal="left"/>
    </xf>
    <xf numFmtId="165" fontId="11" fillId="0" borderId="0" xfId="2" applyNumberFormat="1" applyFont="1" applyAlignment="1" applyProtection="1">
      <alignment horizontal="left"/>
    </xf>
    <xf numFmtId="0" fontId="8" fillId="0" borderId="0" xfId="2" applyFont="1" applyProtection="1"/>
    <xf numFmtId="0" fontId="37" fillId="0" borderId="0" xfId="2" applyFont="1" applyProtection="1"/>
    <xf numFmtId="0" fontId="38" fillId="16" borderId="5" xfId="2" applyFont="1" applyFill="1" applyBorder="1" applyProtection="1"/>
    <xf numFmtId="0" fontId="38" fillId="16" borderId="5" xfId="2" applyFont="1" applyFill="1" applyBorder="1" applyAlignment="1" applyProtection="1">
      <alignment horizontal="left"/>
    </xf>
    <xf numFmtId="0" fontId="0" fillId="0" borderId="0" xfId="0" applyProtection="1"/>
    <xf numFmtId="0" fontId="10" fillId="9" borderId="5" xfId="2" applyFont="1" applyFill="1" applyBorder="1" applyProtection="1"/>
    <xf numFmtId="0" fontId="33" fillId="21" borderId="5" xfId="2" applyFont="1" applyFill="1" applyBorder="1" applyAlignment="1" applyProtection="1">
      <alignment horizontal="center"/>
    </xf>
    <xf numFmtId="0" fontId="34" fillId="22" borderId="5" xfId="2" applyFont="1" applyFill="1" applyBorder="1" applyAlignment="1" applyProtection="1">
      <alignment horizontal="center"/>
    </xf>
    <xf numFmtId="0" fontId="35" fillId="23" borderId="5" xfId="2" applyFont="1" applyFill="1" applyBorder="1" applyAlignment="1" applyProtection="1">
      <alignment horizontal="center"/>
    </xf>
    <xf numFmtId="0" fontId="36" fillId="9" borderId="0" xfId="2" applyFont="1" applyFill="1" applyBorder="1" applyProtection="1"/>
    <xf numFmtId="165" fontId="18" fillId="5" borderId="19" xfId="2" applyNumberFormat="1" applyFont="1" applyFill="1" applyBorder="1" applyAlignment="1" applyProtection="1">
      <alignment horizontal="right"/>
    </xf>
    <xf numFmtId="165" fontId="18" fillId="5" borderId="15" xfId="2" applyNumberFormat="1" applyFont="1" applyFill="1" applyBorder="1" applyAlignment="1" applyProtection="1">
      <alignment horizontal="right"/>
    </xf>
    <xf numFmtId="165" fontId="18" fillId="5" borderId="14" xfId="2" applyNumberFormat="1" applyFont="1" applyFill="1" applyBorder="1" applyAlignment="1" applyProtection="1">
      <alignment horizontal="right"/>
    </xf>
    <xf numFmtId="0" fontId="25" fillId="6" borderId="7" xfId="0" applyFont="1" applyFill="1" applyBorder="1" applyAlignment="1" applyProtection="1">
      <alignment vertical="center" wrapText="1"/>
    </xf>
    <xf numFmtId="0" fontId="25" fillId="7" borderId="7" xfId="0" applyFont="1" applyFill="1" applyBorder="1" applyAlignment="1" applyProtection="1">
      <alignment vertical="center" wrapText="1"/>
    </xf>
    <xf numFmtId="0" fontId="26" fillId="7" borderId="8" xfId="0" applyFont="1" applyFill="1" applyBorder="1" applyProtection="1"/>
    <xf numFmtId="165" fontId="18" fillId="5" borderId="15" xfId="2" applyNumberFormat="1" applyFont="1" applyFill="1" applyBorder="1" applyAlignment="1" applyProtection="1">
      <alignment wrapText="1"/>
    </xf>
    <xf numFmtId="0" fontId="19" fillId="0" borderId="21" xfId="2" applyFont="1" applyBorder="1" applyAlignment="1" applyProtection="1">
      <alignment horizontal="center"/>
    </xf>
    <xf numFmtId="0" fontId="19" fillId="0" borderId="21" xfId="2" applyFont="1" applyBorder="1" applyAlignment="1" applyProtection="1">
      <alignment horizontal="center"/>
    </xf>
    <xf numFmtId="0" fontId="13" fillId="0" borderId="21" xfId="2" applyFont="1" applyBorder="1" applyAlignment="1" applyProtection="1">
      <alignment horizontal="center"/>
    </xf>
    <xf numFmtId="0" fontId="19" fillId="0" borderId="20" xfId="2" applyFont="1" applyBorder="1" applyAlignment="1" applyProtection="1">
      <alignment horizontal="center"/>
    </xf>
    <xf numFmtId="0" fontId="19" fillId="0" borderId="20" xfId="2" applyFont="1" applyBorder="1" applyAlignment="1" applyProtection="1">
      <alignment horizontal="center"/>
    </xf>
    <xf numFmtId="0" fontId="20" fillId="0" borderId="20" xfId="2" applyFont="1" applyBorder="1" applyAlignment="1" applyProtection="1">
      <alignment horizontal="center"/>
    </xf>
    <xf numFmtId="0" fontId="20" fillId="0" borderId="9" xfId="2" applyFont="1" applyBorder="1" applyAlignment="1" applyProtection="1">
      <alignment horizontal="center"/>
    </xf>
  </cellXfs>
  <cellStyles count="4">
    <cellStyle name="Normal" xfId="0" builtinId="0"/>
    <cellStyle name="Normal 2" xfId="2" xr:uid="{E923C57B-95A1-4165-9D42-1AA1D18EF13A}"/>
    <cellStyle name="Normal 2 2" xfId="3" xr:uid="{F9AFC160-7102-4AB5-8167-663D3BE06BCE}"/>
    <cellStyle name="Porcentaje" xfId="1" builtinId="5"/>
  </cellStyles>
  <dxfs count="1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BDD7EE"/>
        </patternFill>
      </fill>
      <protection locked="1"/>
    </dxf>
    <dxf>
      <fill>
        <patternFill patternType="solid">
          <fgColor indexed="64"/>
          <bgColor rgb="FFBDD7EE"/>
        </patternFill>
      </fill>
      <border>
        <left style="medium">
          <color rgb="FFE6E6E6"/>
        </left>
        <right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BDD7EE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  <protection locked="1"/>
    </dxf>
    <dxf>
      <numFmt numFmtId="0" formatCode="General"/>
      <fill>
        <patternFill patternType="solid">
          <fgColor indexed="64"/>
          <bgColor rgb="FFBDD7EE"/>
        </patternFill>
      </fill>
      <protection locked="1"/>
    </dxf>
    <dxf>
      <numFmt numFmtId="0" formatCode="General"/>
      <fill>
        <patternFill patternType="solid">
          <fgColor indexed="64"/>
          <bgColor rgb="FFBDD7E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E88D8D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EB9C"/>
        </patternFill>
      </fill>
    </dxf>
    <dxf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FFFFFF"/>
      </font>
      <fill>
        <patternFill patternType="solid">
          <fgColor indexed="64"/>
          <bgColor rgb="FFFF6B6B"/>
        </patternFill>
      </fill>
    </dxf>
    <dxf>
      <font>
        <color rgb="FF000000"/>
      </font>
      <fill>
        <patternFill patternType="solid">
          <fgColor indexed="64"/>
          <bgColor rgb="FFFFE066"/>
        </patternFill>
      </fill>
    </dxf>
    <dxf>
      <font>
        <color rgb="FFFFFFFF"/>
      </font>
      <fill>
        <patternFill patternType="solid">
          <fgColor indexed="64"/>
          <bgColor rgb="FF51CF66"/>
        </patternFill>
      </fill>
    </dxf>
    <dxf>
      <font>
        <color rgb="FFFFFFFF"/>
      </font>
      <fill>
        <patternFill patternType="solid">
          <fgColor indexed="64"/>
          <bgColor rgb="FFFF6B6B"/>
        </patternFill>
      </fill>
    </dxf>
    <dxf>
      <font>
        <color rgb="FF000000"/>
      </font>
      <fill>
        <patternFill patternType="solid">
          <fgColor indexed="64"/>
          <bgColor rgb="FFFFE066"/>
        </patternFill>
      </fill>
    </dxf>
    <dxf>
      <font>
        <color rgb="FFFFFFFF"/>
      </font>
      <fill>
        <patternFill patternType="solid">
          <fgColor indexed="64"/>
          <bgColor rgb="FF51CF66"/>
        </patternFill>
      </fill>
    </dxf>
    <dxf>
      <font>
        <color rgb="FFFFFFFF"/>
      </font>
      <fill>
        <patternFill patternType="solid">
          <fgColor indexed="64"/>
          <bgColor rgb="FFFF6B6B"/>
        </patternFill>
      </fill>
    </dxf>
    <dxf>
      <font>
        <color rgb="FF000000"/>
      </font>
      <fill>
        <patternFill patternType="solid">
          <fgColor indexed="64"/>
          <bgColor rgb="FFFFE066"/>
        </patternFill>
      </fill>
    </dxf>
    <dxf>
      <font>
        <color rgb="FFFFFFFF"/>
      </font>
      <fill>
        <patternFill patternType="solid">
          <fgColor indexed="64"/>
          <bgColor rgb="FF51CF66"/>
        </patternFill>
      </fill>
    </dxf>
    <dxf>
      <font>
        <color rgb="FFFFFFFF"/>
      </font>
      <fill>
        <patternFill patternType="solid">
          <fgColor indexed="64"/>
          <bgColor rgb="FF51CF66"/>
        </patternFill>
      </fill>
    </dxf>
    <dxf>
      <font>
        <color rgb="FF000000"/>
      </font>
      <fill>
        <patternFill patternType="solid">
          <fgColor indexed="64"/>
          <bgColor rgb="FFFFE066"/>
        </patternFill>
      </fill>
    </dxf>
    <dxf>
      <font>
        <color rgb="FFFFFFFF"/>
      </font>
      <fill>
        <patternFill patternType="solid">
          <fgColor indexed="64"/>
          <bgColor rgb="FFFF6B6B"/>
        </patternFill>
      </fill>
    </dxf>
    <dxf>
      <fill>
        <patternFill>
          <bgColor theme="0"/>
        </patternFill>
      </fill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ill>
        <patternFill patternType="solid">
          <fgColor indexed="64"/>
          <bgColor rgb="FFBDD7EE"/>
        </patternFill>
      </fill>
      <protection locked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DD7EE"/>
        </patternFill>
      </fill>
      <protection locked="1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protection locked="1"/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theme="4" tint="0.79998168889431442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fill>
        <patternFill patternType="solid">
          <fgColor theme="4" tint="0.79998168889431442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2E75B6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 del Presupuesto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rgbClr val="2E75B6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39F-4F1A-AF61-A8EE77C188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39F-4F1A-AF61-A8EE77C188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39F-4F1A-AF61-A8EE77C188B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'Plan-Patron'!$E$4:$E$6</c:f>
              <c:strCache>
                <c:ptCount val="3"/>
                <c:pt idx="0">
                  <c:v>Gasto Fijo</c:v>
                </c:pt>
                <c:pt idx="1">
                  <c:v>Gasto Variable</c:v>
                </c:pt>
                <c:pt idx="2">
                  <c:v>Utilidad</c:v>
                </c:pt>
              </c:strCache>
            </c:strRef>
          </c:cat>
          <c:val>
            <c:numRef>
              <c:f>'Plan-Patron'!$F$4:$F$6</c:f>
              <c:numCache>
                <c:formatCode>General</c:formatCode>
                <c:ptCount val="3"/>
                <c:pt idx="0">
                  <c:v>1440</c:v>
                </c:pt>
                <c:pt idx="1">
                  <c:v>985</c:v>
                </c:pt>
                <c:pt idx="2">
                  <c:v>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A-4A9D-94D4-AFAFDBD6F913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39F-4F1A-AF61-A8EE77C188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39F-4F1A-AF61-A8EE77C188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39F-4F1A-AF61-A8EE77C188B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'Plan-Patron'!$E$4:$E$6</c:f>
              <c:strCache>
                <c:ptCount val="3"/>
                <c:pt idx="0">
                  <c:v>Gasto Fijo</c:v>
                </c:pt>
                <c:pt idx="1">
                  <c:v>Gasto Variable</c:v>
                </c:pt>
                <c:pt idx="2">
                  <c:v>Utilidad</c:v>
                </c:pt>
              </c:strCache>
            </c:strRef>
          </c:cat>
          <c:val>
            <c:numRef>
              <c:f>'Plan-Patron'!$G$4:$G$6</c:f>
              <c:numCache>
                <c:formatCode>0%</c:formatCode>
                <c:ptCount val="3"/>
                <c:pt idx="0">
                  <c:v>0.47213114754098362</c:v>
                </c:pt>
                <c:pt idx="1">
                  <c:v>0.32295081967213113</c:v>
                </c:pt>
                <c:pt idx="2">
                  <c:v>0.20491803278688525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A-4A9D-94D4-AFAFDBD6F91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📊 Comparativo Mensual: Ingresos vs Gastos vs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Dashboard!$A$8</c:f>
              <c:strCache>
                <c:ptCount val="1"/>
                <c:pt idx="0">
                  <c:v>Ingresos</c:v>
                </c:pt>
              </c:strCache>
            </c:strRef>
          </c:tx>
          <c:spPr>
            <a:solidFill>
              <a:srgbClr val="217346"/>
            </a:solidFill>
            <a:ln>
              <a:noFill/>
            </a:ln>
            <a:effectLst/>
          </c:spPr>
          <c:invertIfNegative val="0"/>
          <c:cat>
            <c:strRef>
              <c:f>Dashboard!$B$7:$M$7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Dashboard!$B$8:$M$8</c:f>
              <c:numCache>
                <c:formatCode>#,##0</c:formatCode>
                <c:ptCount val="12"/>
                <c:pt idx="0">
                  <c:v>2800</c:v>
                </c:pt>
                <c:pt idx="1">
                  <c:v>2789</c:v>
                </c:pt>
                <c:pt idx="2">
                  <c:v>2735</c:v>
                </c:pt>
                <c:pt idx="3">
                  <c:v>2796</c:v>
                </c:pt>
                <c:pt idx="4">
                  <c:v>2823</c:v>
                </c:pt>
                <c:pt idx="5">
                  <c:v>2780</c:v>
                </c:pt>
                <c:pt idx="6">
                  <c:v>2824</c:v>
                </c:pt>
                <c:pt idx="7">
                  <c:v>2749</c:v>
                </c:pt>
                <c:pt idx="8">
                  <c:v>2807</c:v>
                </c:pt>
                <c:pt idx="9">
                  <c:v>2877</c:v>
                </c:pt>
                <c:pt idx="10">
                  <c:v>2745</c:v>
                </c:pt>
                <c:pt idx="11">
                  <c:v>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F-44C2-97C2-457DF6A6578C}"/>
            </c:ext>
          </c:extLst>
        </c:ser>
        <c:ser>
          <c:idx val="1"/>
          <c:order val="1"/>
          <c:tx>
            <c:strRef>
              <c:f>Dashboard!$A$9</c:f>
              <c:strCache>
                <c:ptCount val="1"/>
                <c:pt idx="0">
                  <c:v>Gastos Fijos</c:v>
                </c:pt>
              </c:strCache>
            </c:strRef>
          </c:tx>
          <c:spPr>
            <a:solidFill>
              <a:srgbClr val="C65911"/>
            </a:solidFill>
            <a:ln>
              <a:noFill/>
            </a:ln>
            <a:effectLst/>
          </c:spPr>
          <c:invertIfNegative val="0"/>
          <c:cat>
            <c:strRef>
              <c:f>Dashboard!$B$7:$M$7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Dashboard!$B$9:$M$9</c:f>
              <c:numCache>
                <c:formatCode>#,##0</c:formatCode>
                <c:ptCount val="12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1300</c:v>
                </c:pt>
                <c:pt idx="4">
                  <c:v>1300</c:v>
                </c:pt>
                <c:pt idx="5">
                  <c:v>1300</c:v>
                </c:pt>
                <c:pt idx="6">
                  <c:v>1300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F-44C2-97C2-457DF6A6578C}"/>
            </c:ext>
          </c:extLst>
        </c:ser>
        <c:ser>
          <c:idx val="2"/>
          <c:order val="2"/>
          <c:tx>
            <c:strRef>
              <c:f>Dashboard!$A$10</c:f>
              <c:strCache>
                <c:ptCount val="1"/>
                <c:pt idx="0">
                  <c:v>Gastos Variables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Dashboard!$B$7:$M$7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Dashboard!$B$10:$M$10</c:f>
              <c:numCache>
                <c:formatCode>#,##0</c:formatCode>
                <c:ptCount val="12"/>
                <c:pt idx="0">
                  <c:v>1060</c:v>
                </c:pt>
                <c:pt idx="1">
                  <c:v>1003</c:v>
                </c:pt>
                <c:pt idx="2">
                  <c:v>1059</c:v>
                </c:pt>
                <c:pt idx="3">
                  <c:v>1184</c:v>
                </c:pt>
                <c:pt idx="4">
                  <c:v>1126</c:v>
                </c:pt>
                <c:pt idx="5">
                  <c:v>1211</c:v>
                </c:pt>
                <c:pt idx="6">
                  <c:v>995</c:v>
                </c:pt>
                <c:pt idx="7">
                  <c:v>1082</c:v>
                </c:pt>
                <c:pt idx="8">
                  <c:v>1056</c:v>
                </c:pt>
                <c:pt idx="9">
                  <c:v>1096</c:v>
                </c:pt>
                <c:pt idx="10">
                  <c:v>1063</c:v>
                </c:pt>
                <c:pt idx="11">
                  <c:v>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F-44C2-97C2-457DF6A6578C}"/>
            </c:ext>
          </c:extLst>
        </c:ser>
        <c:ser>
          <c:idx val="3"/>
          <c:order val="3"/>
          <c:tx>
            <c:strRef>
              <c:f>Dashboard!$A$11</c:f>
              <c:strCache>
                <c:ptCount val="1"/>
                <c:pt idx="0">
                  <c:v>Utilidad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Dashboard!$B$7:$M$7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Dashboard!$B$11:$M$11</c:f>
              <c:numCache>
                <c:formatCode>#,##0</c:formatCode>
                <c:ptCount val="12"/>
                <c:pt idx="0">
                  <c:v>440</c:v>
                </c:pt>
                <c:pt idx="1">
                  <c:v>486</c:v>
                </c:pt>
                <c:pt idx="2">
                  <c:v>376</c:v>
                </c:pt>
                <c:pt idx="3">
                  <c:v>312</c:v>
                </c:pt>
                <c:pt idx="4">
                  <c:v>397</c:v>
                </c:pt>
                <c:pt idx="5">
                  <c:v>269</c:v>
                </c:pt>
                <c:pt idx="6">
                  <c:v>529</c:v>
                </c:pt>
                <c:pt idx="7">
                  <c:v>367</c:v>
                </c:pt>
                <c:pt idx="8">
                  <c:v>451</c:v>
                </c:pt>
                <c:pt idx="9">
                  <c:v>481</c:v>
                </c:pt>
                <c:pt idx="10">
                  <c:v>382</c:v>
                </c:pt>
                <c:pt idx="11">
                  <c:v>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8F-44C2-97C2-457DF6A65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8721391"/>
        <c:axId val="1688721871"/>
      </c:barChart>
      <c:catAx>
        <c:axId val="168872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8721871"/>
        <c:crosses val="autoZero"/>
        <c:auto val="1"/>
        <c:lblAlgn val="ctr"/>
        <c:lblOffset val="100"/>
        <c:noMultiLvlLbl val="0"/>
      </c:catAx>
      <c:valAx>
        <c:axId val="168872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872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📈 Tendencia de Ahorro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Dashboard!$A$11</c:f>
              <c:strCache>
                <c:ptCount val="1"/>
                <c:pt idx="0">
                  <c:v>Utilidad</c:v>
                </c:pt>
              </c:strCache>
            </c:strRef>
          </c:tx>
          <c:spPr>
            <a:ln w="38100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2E75B6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val>
            <c:numRef>
              <c:f>Dashboard!$B$11:$M$11</c:f>
              <c:numCache>
                <c:formatCode>#,##0</c:formatCode>
                <c:ptCount val="12"/>
                <c:pt idx="0">
                  <c:v>440</c:v>
                </c:pt>
                <c:pt idx="1">
                  <c:v>486</c:v>
                </c:pt>
                <c:pt idx="2">
                  <c:v>376</c:v>
                </c:pt>
                <c:pt idx="3">
                  <c:v>312</c:v>
                </c:pt>
                <c:pt idx="4">
                  <c:v>397</c:v>
                </c:pt>
                <c:pt idx="5">
                  <c:v>269</c:v>
                </c:pt>
                <c:pt idx="6">
                  <c:v>529</c:v>
                </c:pt>
                <c:pt idx="7">
                  <c:v>367</c:v>
                </c:pt>
                <c:pt idx="8">
                  <c:v>451</c:v>
                </c:pt>
                <c:pt idx="9">
                  <c:v>481</c:v>
                </c:pt>
                <c:pt idx="10">
                  <c:v>382</c:v>
                </c:pt>
                <c:pt idx="11">
                  <c:v>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6-4DFA-BA0F-D54C86699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501423"/>
        <c:axId val="1676521103"/>
      </c:lineChart>
      <c:catAx>
        <c:axId val="16765014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6521103"/>
        <c:crosses val="autoZero"/>
        <c:auto val="1"/>
        <c:lblAlgn val="ctr"/>
        <c:lblOffset val="100"/>
        <c:noMultiLvlLbl val="0"/>
      </c:catAx>
      <c:valAx>
        <c:axId val="167652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650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 del Presupuesto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Dashboard!$B$31</c:f>
              <c:strCache>
                <c:ptCount val="1"/>
                <c:pt idx="0">
                  <c:v>Importe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5-4503-B62C-301E359201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9B5-4503-B62C-301E359201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5-4503-B62C-301E3592019E}"/>
              </c:ext>
            </c:extLst>
          </c:dPt>
          <c:dLbls>
            <c:dLbl>
              <c:idx val="0"/>
              <c:layout>
                <c:manualLayout>
                  <c:x val="4.4222240261259427E-2"/>
                  <c:y val="-1.220655020784775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B5-4503-B62C-301E3592019E}"/>
                </c:ext>
              </c:extLst>
            </c:dLbl>
            <c:dLbl>
              <c:idx val="1"/>
              <c:layout>
                <c:manualLayout>
                  <c:x val="-4.9750020293916855E-2"/>
                  <c:y val="-1.220655020784775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B5-4503-B62C-301E3592019E}"/>
                </c:ext>
              </c:extLst>
            </c:dLbl>
            <c:dLbl>
              <c:idx val="2"/>
              <c:layout>
                <c:manualLayout>
                  <c:x val="-3.0402790179615904E-2"/>
                  <c:y val="-7.32393012470865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B5-4503-B62C-301E359201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Dashboard!$A$32:$A$34</c:f>
              <c:strCache>
                <c:ptCount val="3"/>
                <c:pt idx="0">
                  <c:v>Gastos Fijos</c:v>
                </c:pt>
                <c:pt idx="1">
                  <c:v>Gastos Variables</c:v>
                </c:pt>
                <c:pt idx="2">
                  <c:v>Ahorro</c:v>
                </c:pt>
              </c:strCache>
            </c:strRef>
          </c:cat>
          <c:val>
            <c:numRef>
              <c:f>Dashboard!$B$32:$B$34</c:f>
              <c:numCache>
                <c:formatCode>#,##0\ \€</c:formatCode>
                <c:ptCount val="3"/>
                <c:pt idx="0">
                  <c:v>15600</c:v>
                </c:pt>
                <c:pt idx="1">
                  <c:v>12894</c:v>
                </c:pt>
                <c:pt idx="2">
                  <c:v>5057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5-4503-B62C-301E3592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Desglose Gastos Fijos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8135506930980358"/>
          <c:y val="0.15020470538116285"/>
          <c:w val="0.61204526569857165"/>
          <c:h val="0.7333175158219332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Dashboard!$B$38</c:f>
              <c:strCache>
                <c:ptCount val="1"/>
                <c:pt idx="0">
                  <c:v>Importe Anual</c:v>
                </c:pt>
              </c:strCache>
            </c:strRef>
          </c:tx>
          <c:spPr>
            <a:solidFill>
              <a:srgbClr val="C65911"/>
            </a:solidFill>
            <a:ln>
              <a:noFill/>
            </a:ln>
            <a:effectLst/>
          </c:spPr>
          <c:invertIfNegative val="0"/>
          <c:cat>
            <c:strRef>
              <c:f>Dashboard!$A$39:$A$44</c:f>
              <c:strCache>
                <c:ptCount val="6"/>
                <c:pt idx="0">
                  <c:v>Vivienda</c:v>
                </c:pt>
                <c:pt idx="1">
                  <c:v>Suministros</c:v>
                </c:pt>
                <c:pt idx="2">
                  <c:v>Telecomunicaciones</c:v>
                </c:pt>
                <c:pt idx="3">
                  <c:v>Seguros</c:v>
                </c:pt>
                <c:pt idx="4">
                  <c:v>Educación</c:v>
                </c:pt>
                <c:pt idx="5">
                  <c:v>Financiación</c:v>
                </c:pt>
              </c:strCache>
            </c:strRef>
          </c:cat>
          <c:val>
            <c:numRef>
              <c:f>Dashboard!$B$39:$B$44</c:f>
              <c:numCache>
                <c:formatCode>#,##0\ \€</c:formatCode>
                <c:ptCount val="6"/>
                <c:pt idx="0">
                  <c:v>9000</c:v>
                </c:pt>
                <c:pt idx="1">
                  <c:v>1500</c:v>
                </c:pt>
                <c:pt idx="2">
                  <c:v>720</c:v>
                </c:pt>
                <c:pt idx="3">
                  <c:v>780</c:v>
                </c:pt>
                <c:pt idx="4">
                  <c:v>600</c:v>
                </c:pt>
                <c:pt idx="5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D-4619-B4C9-830441BA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76518223"/>
        <c:axId val="1676517263"/>
      </c:barChart>
      <c:catAx>
        <c:axId val="1676518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6517263"/>
        <c:crosses val="autoZero"/>
        <c:auto val="1"/>
        <c:lblAlgn val="ctr"/>
        <c:lblOffset val="100"/>
        <c:noMultiLvlLbl val="0"/>
      </c:catAx>
      <c:valAx>
        <c:axId val="1676517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6518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Desglose Gastos Variables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3276852541769874"/>
          <c:y val="0.14547798561827149"/>
          <c:w val="0.70059890851239504"/>
          <c:h val="0.741709618886765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Dashboard!$B$46</c:f>
              <c:strCache>
                <c:ptCount val="1"/>
                <c:pt idx="0">
                  <c:v>Importe Anual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Dashboard!$A$47:$A$54</c:f>
              <c:strCache>
                <c:ptCount val="8"/>
                <c:pt idx="0">
                  <c:v>Transporte</c:v>
                </c:pt>
                <c:pt idx="1">
                  <c:v>Alimentación</c:v>
                </c:pt>
                <c:pt idx="2">
                  <c:v>Restaurantes</c:v>
                </c:pt>
                <c:pt idx="3">
                  <c:v>Compras</c:v>
                </c:pt>
                <c:pt idx="4">
                  <c:v>Sanidad</c:v>
                </c:pt>
                <c:pt idx="5">
                  <c:v>Remesas</c:v>
                </c:pt>
                <c:pt idx="6">
                  <c:v>Ocio</c:v>
                </c:pt>
                <c:pt idx="7">
                  <c:v>Otros</c:v>
                </c:pt>
              </c:strCache>
            </c:strRef>
          </c:cat>
          <c:val>
            <c:numRef>
              <c:f>Dashboard!$B$47:$B$54</c:f>
              <c:numCache>
                <c:formatCode>#,##0\ \€</c:formatCode>
                <c:ptCount val="8"/>
                <c:pt idx="0">
                  <c:v>1059</c:v>
                </c:pt>
                <c:pt idx="1">
                  <c:v>6718</c:v>
                </c:pt>
                <c:pt idx="2">
                  <c:v>1819</c:v>
                </c:pt>
                <c:pt idx="3">
                  <c:v>567</c:v>
                </c:pt>
                <c:pt idx="4">
                  <c:v>368</c:v>
                </c:pt>
                <c:pt idx="5">
                  <c:v>1312</c:v>
                </c:pt>
                <c:pt idx="6">
                  <c:v>445</c:v>
                </c:pt>
                <c:pt idx="7">
                  <c:v>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7-4E1A-B530-5148815DD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76525423"/>
        <c:axId val="1676529743"/>
      </c:barChart>
      <c:catAx>
        <c:axId val="1676525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6529743"/>
        <c:crosses val="autoZero"/>
        <c:auto val="1"/>
        <c:lblAlgn val="ctr"/>
        <c:lblOffset val="100"/>
        <c:noMultiLvlLbl val="0"/>
      </c:catAx>
      <c:valAx>
        <c:axId val="167652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652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7</xdr:row>
      <xdr:rowOff>171449</xdr:rowOff>
    </xdr:from>
    <xdr:to>
      <xdr:col>6</xdr:col>
      <xdr:colOff>752476</xdr:colOff>
      <xdr:row>19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EBCD6B0-3CFF-9A6A-EA82-B31D54CD3E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431800</xdr:colOff>
      <xdr:row>4</xdr:row>
      <xdr:rowOff>19050</xdr:rowOff>
    </xdr:from>
    <xdr:to>
      <xdr:col>3</xdr:col>
      <xdr:colOff>1752600</xdr:colOff>
      <xdr:row>5</xdr:row>
      <xdr:rowOff>152400</xdr:rowOff>
    </xdr:to>
    <xdr:sp macro="[0]!InsertarPlan" textlink="">
      <xdr:nvSpPr>
        <xdr:cNvPr id="5" name="btnInsertarPlan">
          <a:extLst>
            <a:ext uri="{FF2B5EF4-FFF2-40B4-BE49-F238E27FC236}">
              <a16:creationId xmlns:a16="http://schemas.microsoft.com/office/drawing/2014/main" id="{CFDCAED4-249B-4BB0-9159-FFBEF54A794A}"/>
            </a:ext>
          </a:extLst>
        </xdr:cNvPr>
        <xdr:cNvSpPr/>
      </xdr:nvSpPr>
      <xdr:spPr>
        <a:xfrm>
          <a:off x="4756150" y="866775"/>
          <a:ext cx="1320800" cy="352425"/>
        </a:xfrm>
        <a:prstGeom prst="roundRect">
          <a:avLst/>
        </a:prstGeom>
        <a:solidFill>
          <a:srgbClr val="217346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📥 Insertar Plan</a:t>
          </a:r>
        </a:p>
      </xdr:txBody>
    </xdr:sp>
    <xdr:clientData/>
  </xdr:twoCellAnchor>
  <xdr:twoCellAnchor>
    <xdr:from>
      <xdr:col>3</xdr:col>
      <xdr:colOff>403225</xdr:colOff>
      <xdr:row>6</xdr:row>
      <xdr:rowOff>158750</xdr:rowOff>
    </xdr:from>
    <xdr:to>
      <xdr:col>3</xdr:col>
      <xdr:colOff>1762125</xdr:colOff>
      <xdr:row>8</xdr:row>
      <xdr:rowOff>114300</xdr:rowOff>
    </xdr:to>
    <xdr:sp macro="[0]!LimpiarPlan" textlink="">
      <xdr:nvSpPr>
        <xdr:cNvPr id="6" name="btnLimpiarPlan">
          <a:extLst>
            <a:ext uri="{FF2B5EF4-FFF2-40B4-BE49-F238E27FC236}">
              <a16:creationId xmlns:a16="http://schemas.microsoft.com/office/drawing/2014/main" id="{79CCA723-B2CC-4D4F-AB69-ABE6E6A6B51F}"/>
            </a:ext>
          </a:extLst>
        </xdr:cNvPr>
        <xdr:cNvSpPr/>
      </xdr:nvSpPr>
      <xdr:spPr>
        <a:xfrm>
          <a:off x="4727575" y="1444625"/>
          <a:ext cx="1358900" cy="355600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🗑️ Limpiar Plan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12</xdr:row>
      <xdr:rowOff>0</xdr:rowOff>
    </xdr:from>
    <xdr:to>
      <xdr:col>6</xdr:col>
      <xdr:colOff>742949</xdr:colOff>
      <xdr:row>28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C25C60-EDAF-EC7F-6F4C-C9EBBC05D3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0</xdr:colOff>
      <xdr:row>23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166EDA4-F123-0FA0-76F8-733EC436E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1066799</xdr:colOff>
      <xdr:row>24</xdr:row>
      <xdr:rowOff>66676</xdr:rowOff>
    </xdr:from>
    <xdr:to>
      <xdr:col>13</xdr:col>
      <xdr:colOff>47624</xdr:colOff>
      <xdr:row>35</xdr:row>
      <xdr:rowOff>40821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C9C0533-36D9-6560-AA45-7DE14C050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152399</xdr:colOff>
      <xdr:row>36</xdr:row>
      <xdr:rowOff>66675</xdr:rowOff>
    </xdr:from>
    <xdr:to>
      <xdr:col>6</xdr:col>
      <xdr:colOff>742950</xdr:colOff>
      <xdr:row>53</xdr:row>
      <xdr:rowOff>133350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3D0B56-43A4-8679-AFCE-CDAA1888C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1057274</xdr:colOff>
      <xdr:row>36</xdr:row>
      <xdr:rowOff>54428</xdr:rowOff>
    </xdr:from>
    <xdr:to>
      <xdr:col>13</xdr:col>
      <xdr:colOff>38099</xdr:colOff>
      <xdr:row>53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81947D1-82E2-BC28-E37D-7B5626A74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84D79-B975-4E23-A94D-478DBC7B0092}" name="Categorias" displayName="Categorias" ref="A1:D23" totalsRowShown="0" headerRowDxfId="112" headerRowBorderDxfId="118" tableBorderDxfId="117" totalsRowBorderDxfId="116">
  <autoFilter ref="A1:D23" xr:uid="{5AB84D79-B975-4E23-A94D-478DBC7B0092}"/>
  <tableColumns count="4">
    <tableColumn id="1" xr3:uid="{344359E9-02E6-4108-8D03-4F4FF53EDA10}" name="Categoría" dataDxfId="115"/>
    <tableColumn id="2" xr3:uid="{A58DD460-ACFE-412B-BD71-1E6A8D78B247}" name="Descripción" dataDxfId="114"/>
    <tableColumn id="3" xr3:uid="{11984604-0FF9-4DF3-849D-70EF847F07D8}" name="Tipo" dataDxfId="113"/>
    <tableColumn id="4" xr3:uid="{23F37F7E-6C17-4EFE-A543-3F254AC5FC56}" name="Lista_Desplegable" dataDxfId="4">
      <calculatedColumnFormula>Categorias[[#This Row],[Tipo]] &amp; " - " &amp; Categorias[[#This Row],[Categoría]] &amp; " (" &amp; Categorias[[#This Row],[Descripción]] &amp; ")"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E9F10D-00E4-4F4D-B6EE-B38163F87632}" name="PlanPatron" displayName="PlanPatron" ref="A1:C23" totalsRowShown="0" headerRowDxfId="109">
  <autoFilter ref="A1:C23" xr:uid="{64E9F10D-00E4-4F4D-B6EE-B38163F87632}"/>
  <tableColumns count="3">
    <tableColumn id="1" xr3:uid="{2E7011F8-D864-41A9-A827-D782B5BED1B2}" name="Categoría" dataDxfId="108">
      <calculatedColumnFormula>Categorias[[#This Row],[Categoría]]</calculatedColumnFormula>
    </tableColumn>
    <tableColumn id="3" xr3:uid="{F3415B83-8006-4302-867F-B3E3F708DD2B}" name="Importe" dataDxfId="107"/>
    <tableColumn id="7" xr3:uid="{0A8BB78D-30B6-44B8-A091-4DB6EF0302C7}" name="tipo" dataDxfId="3">
      <calculatedColumnFormula>_xlfn.XLOOKUP(A:A,'Categorias '!A:A,'Categorias '!C:C,"Sin respuesta")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451A76-63DB-44A6-8846-CBDBAE57CDCA}" name="ResumenTipos" displayName="ResumenTipos" ref="E2:G6" totalsRowShown="0" headerRowDxfId="111" dataDxfId="110">
  <autoFilter ref="E2:G6" xr:uid="{B0451A76-63DB-44A6-8846-CBDBAE57CDCA}"/>
  <tableColumns count="3">
    <tableColumn id="1" xr3:uid="{4B9FF676-F260-4DB6-B522-A912746DBECF}" name="Tipo" dataDxfId="2"/>
    <tableColumn id="2" xr3:uid="{5E111AE4-6AE5-4914-A527-E12501E8D9A1}" name="Importe" dataDxfId="1">
      <calculatedColumnFormula>SUMIF(PlanPatron[tipo],E3,PlanPatron[Importe])</calculatedColumnFormula>
    </tableColumn>
    <tableColumn id="3" xr3:uid="{DE5EA7B8-469A-48AB-AB80-E2DC89728161}" name="%" dataDxfId="0" dataCellStyle="Porcentaje">
      <calculatedColumnFormula>F3/$F$3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9D2F2-93EA-4E23-A986-6C183F62BA62}">
  <dimension ref="A1:E94"/>
  <sheetViews>
    <sheetView tabSelected="1" topLeftCell="A10" workbookViewId="0">
      <selection activeCell="C25" sqref="C25"/>
    </sheetView>
  </sheetViews>
  <sheetFormatPr baseColWidth="10" defaultRowHeight="15" x14ac:dyDescent="0.25"/>
  <cols>
    <col min="1" max="2" width="38.140625" customWidth="1"/>
    <col min="3" max="3" width="34.28515625" customWidth="1"/>
    <col min="4" max="4" width="22.85546875" customWidth="1"/>
    <col min="5" max="5" width="19" customWidth="1"/>
  </cols>
  <sheetData>
    <row r="1" spans="1:4" ht="35.1" customHeight="1" x14ac:dyDescent="0.35">
      <c r="A1" s="88" t="s">
        <v>144</v>
      </c>
    </row>
    <row r="3" spans="1:4" ht="17.25" x14ac:dyDescent="0.3">
      <c r="A3" s="89" t="s">
        <v>145</v>
      </c>
    </row>
    <row r="4" spans="1:4" x14ac:dyDescent="0.25">
      <c r="A4" t="s">
        <v>146</v>
      </c>
    </row>
    <row r="5" spans="1:4" x14ac:dyDescent="0.25">
      <c r="A5" t="s">
        <v>147</v>
      </c>
    </row>
    <row r="6" spans="1:4" x14ac:dyDescent="0.25">
      <c r="A6" t="s">
        <v>148</v>
      </c>
    </row>
    <row r="7" spans="1:4" x14ac:dyDescent="0.25">
      <c r="A7" t="s">
        <v>149</v>
      </c>
    </row>
    <row r="9" spans="1:4" ht="17.25" x14ac:dyDescent="0.3">
      <c r="A9" s="89" t="s">
        <v>150</v>
      </c>
    </row>
    <row r="10" spans="1:4" x14ac:dyDescent="0.25">
      <c r="A10" s="47" t="s">
        <v>151</v>
      </c>
      <c r="B10" s="47" t="s">
        <v>152</v>
      </c>
      <c r="C10" s="47" t="s">
        <v>153</v>
      </c>
      <c r="D10" s="47" t="s">
        <v>154</v>
      </c>
    </row>
    <row r="11" spans="1:4" x14ac:dyDescent="0.25">
      <c r="A11" s="2" t="s">
        <v>155</v>
      </c>
      <c r="B11" s="2" t="s">
        <v>156</v>
      </c>
      <c r="C11" s="2" t="s">
        <v>157</v>
      </c>
      <c r="D11" s="2" t="s">
        <v>158</v>
      </c>
    </row>
    <row r="12" spans="1:4" x14ac:dyDescent="0.25">
      <c r="A12" s="2" t="s">
        <v>159</v>
      </c>
      <c r="B12" s="2" t="s">
        <v>160</v>
      </c>
      <c r="C12" s="2" t="s">
        <v>161</v>
      </c>
      <c r="D12" s="2" t="s">
        <v>158</v>
      </c>
    </row>
    <row r="13" spans="1:4" x14ac:dyDescent="0.25">
      <c r="A13" s="2" t="s">
        <v>162</v>
      </c>
      <c r="B13" s="2" t="s">
        <v>163</v>
      </c>
      <c r="C13" s="2" t="s">
        <v>164</v>
      </c>
      <c r="D13" s="2" t="s">
        <v>158</v>
      </c>
    </row>
    <row r="14" spans="1:4" x14ac:dyDescent="0.25">
      <c r="A14" s="2" t="s">
        <v>165</v>
      </c>
      <c r="B14" s="2" t="s">
        <v>166</v>
      </c>
      <c r="C14" s="2" t="s">
        <v>167</v>
      </c>
      <c r="D14" s="2" t="s">
        <v>168</v>
      </c>
    </row>
    <row r="16" spans="1:4" ht="17.25" x14ac:dyDescent="0.3">
      <c r="A16" s="89" t="s">
        <v>169</v>
      </c>
    </row>
    <row r="17" spans="1:2" x14ac:dyDescent="0.25">
      <c r="A17" s="91" t="s">
        <v>271</v>
      </c>
      <c r="B17" t="s">
        <v>266</v>
      </c>
    </row>
    <row r="18" spans="1:2" x14ac:dyDescent="0.25">
      <c r="A18" s="91" t="s">
        <v>272</v>
      </c>
      <c r="B18" t="s">
        <v>170</v>
      </c>
    </row>
    <row r="19" spans="1:2" x14ac:dyDescent="0.25">
      <c r="A19" s="91" t="s">
        <v>273</v>
      </c>
      <c r="B19" t="s">
        <v>267</v>
      </c>
    </row>
    <row r="20" spans="1:2" x14ac:dyDescent="0.25">
      <c r="A20" s="91" t="s">
        <v>274</v>
      </c>
      <c r="B20" t="s">
        <v>171</v>
      </c>
    </row>
    <row r="21" spans="1:2" x14ac:dyDescent="0.25">
      <c r="A21" s="91" t="s">
        <v>275</v>
      </c>
      <c r="B21" t="s">
        <v>172</v>
      </c>
    </row>
    <row r="22" spans="1:2" x14ac:dyDescent="0.25">
      <c r="A22" s="91" t="s">
        <v>276</v>
      </c>
      <c r="B22" t="s">
        <v>268</v>
      </c>
    </row>
    <row r="23" spans="1:2" x14ac:dyDescent="0.25">
      <c r="A23" s="91" t="s">
        <v>277</v>
      </c>
      <c r="B23" t="s">
        <v>173</v>
      </c>
    </row>
    <row r="24" spans="1:2" x14ac:dyDescent="0.25">
      <c r="A24" s="91" t="s">
        <v>270</v>
      </c>
      <c r="B24" t="s">
        <v>269</v>
      </c>
    </row>
    <row r="26" spans="1:2" ht="17.25" x14ac:dyDescent="0.3">
      <c r="A26" s="89" t="s">
        <v>174</v>
      </c>
    </row>
    <row r="28" spans="1:2" x14ac:dyDescent="0.25">
      <c r="A28" s="90" t="s">
        <v>175</v>
      </c>
    </row>
    <row r="29" spans="1:2" x14ac:dyDescent="0.25">
      <c r="A29" t="s">
        <v>278</v>
      </c>
    </row>
    <row r="30" spans="1:2" x14ac:dyDescent="0.25">
      <c r="A30" t="s">
        <v>176</v>
      </c>
    </row>
    <row r="31" spans="1:2" x14ac:dyDescent="0.25">
      <c r="A31" t="s">
        <v>177</v>
      </c>
    </row>
    <row r="32" spans="1:2" x14ac:dyDescent="0.25">
      <c r="A32" t="s">
        <v>178</v>
      </c>
    </row>
    <row r="33" spans="1:1" x14ac:dyDescent="0.25">
      <c r="A33" t="s">
        <v>179</v>
      </c>
    </row>
    <row r="35" spans="1:1" x14ac:dyDescent="0.25">
      <c r="A35" s="90" t="s">
        <v>180</v>
      </c>
    </row>
    <row r="36" spans="1:1" x14ac:dyDescent="0.25">
      <c r="A36" t="s">
        <v>181</v>
      </c>
    </row>
    <row r="37" spans="1:1" x14ac:dyDescent="0.25">
      <c r="A37" t="s">
        <v>182</v>
      </c>
    </row>
    <row r="38" spans="1:1" x14ac:dyDescent="0.25">
      <c r="A38" t="s">
        <v>183</v>
      </c>
    </row>
    <row r="39" spans="1:1" x14ac:dyDescent="0.25">
      <c r="A39" t="s">
        <v>184</v>
      </c>
    </row>
    <row r="40" spans="1:1" x14ac:dyDescent="0.25">
      <c r="A40" t="s">
        <v>185</v>
      </c>
    </row>
    <row r="42" spans="1:1" x14ac:dyDescent="0.25">
      <c r="A42" s="90" t="s">
        <v>186</v>
      </c>
    </row>
    <row r="43" spans="1:1" x14ac:dyDescent="0.25">
      <c r="A43" t="s">
        <v>187</v>
      </c>
    </row>
    <row r="44" spans="1:1" x14ac:dyDescent="0.25">
      <c r="A44" t="s">
        <v>188</v>
      </c>
    </row>
    <row r="45" spans="1:1" x14ac:dyDescent="0.25">
      <c r="A45" t="s">
        <v>189</v>
      </c>
    </row>
    <row r="46" spans="1:1" x14ac:dyDescent="0.25">
      <c r="A46" t="s">
        <v>190</v>
      </c>
    </row>
    <row r="48" spans="1:1" x14ac:dyDescent="0.25">
      <c r="A48" s="90" t="s">
        <v>191</v>
      </c>
    </row>
    <row r="49" spans="1:4" x14ac:dyDescent="0.25">
      <c r="A49" t="s">
        <v>192</v>
      </c>
    </row>
    <row r="50" spans="1:4" x14ac:dyDescent="0.25">
      <c r="A50" t="s">
        <v>193</v>
      </c>
    </row>
    <row r="51" spans="1:4" x14ac:dyDescent="0.25">
      <c r="A51" t="s">
        <v>194</v>
      </c>
    </row>
    <row r="52" spans="1:4" x14ac:dyDescent="0.25">
      <c r="A52" t="s">
        <v>195</v>
      </c>
    </row>
    <row r="53" spans="1:4" x14ac:dyDescent="0.25">
      <c r="A53" t="s">
        <v>196</v>
      </c>
    </row>
    <row r="55" spans="1:4" ht="17.25" x14ac:dyDescent="0.3">
      <c r="A55" s="89" t="s">
        <v>197</v>
      </c>
    </row>
    <row r="56" spans="1:4" x14ac:dyDescent="0.25">
      <c r="A56" s="47" t="s">
        <v>198</v>
      </c>
      <c r="B56" s="47" t="s">
        <v>199</v>
      </c>
      <c r="C56" s="47" t="s">
        <v>200</v>
      </c>
      <c r="D56" s="47" t="s">
        <v>201</v>
      </c>
    </row>
    <row r="57" spans="1:4" x14ac:dyDescent="0.25">
      <c r="A57" s="2" t="s">
        <v>202</v>
      </c>
      <c r="B57" s="2" t="s">
        <v>280</v>
      </c>
      <c r="C57" s="2" t="s">
        <v>203</v>
      </c>
      <c r="D57" s="2" t="s">
        <v>285</v>
      </c>
    </row>
    <row r="58" spans="1:4" x14ac:dyDescent="0.25">
      <c r="A58" s="2" t="s">
        <v>204</v>
      </c>
      <c r="B58" s="2" t="s">
        <v>279</v>
      </c>
      <c r="C58" s="2" t="s">
        <v>206</v>
      </c>
      <c r="D58" s="2" t="s">
        <v>286</v>
      </c>
    </row>
    <row r="59" spans="1:4" x14ac:dyDescent="0.25">
      <c r="A59" s="2" t="s">
        <v>205</v>
      </c>
      <c r="B59" s="2" t="s">
        <v>281</v>
      </c>
      <c r="C59" s="2" t="s">
        <v>207</v>
      </c>
      <c r="D59" s="2" t="s">
        <v>287</v>
      </c>
    </row>
    <row r="60" spans="1:4" x14ac:dyDescent="0.25">
      <c r="A60" s="2" t="s">
        <v>208</v>
      </c>
      <c r="B60" s="2" t="s">
        <v>282</v>
      </c>
      <c r="C60" s="2" t="s">
        <v>209</v>
      </c>
      <c r="D60" s="2" t="s">
        <v>288</v>
      </c>
    </row>
    <row r="61" spans="1:4" x14ac:dyDescent="0.25">
      <c r="A61" s="2" t="s">
        <v>210</v>
      </c>
      <c r="B61" s="2" t="s">
        <v>283</v>
      </c>
      <c r="C61" s="2" t="s">
        <v>211</v>
      </c>
      <c r="D61" s="2" t="s">
        <v>289</v>
      </c>
    </row>
    <row r="62" spans="1:4" x14ac:dyDescent="0.25">
      <c r="A62" s="2" t="s">
        <v>212</v>
      </c>
      <c r="B62" s="2" t="s">
        <v>284</v>
      </c>
      <c r="C62" s="2" t="s">
        <v>213</v>
      </c>
      <c r="D62" s="2" t="s">
        <v>284</v>
      </c>
    </row>
    <row r="64" spans="1:4" ht="17.25" x14ac:dyDescent="0.3">
      <c r="A64" s="89" t="s">
        <v>214</v>
      </c>
    </row>
    <row r="65" spans="1:5" x14ac:dyDescent="0.25">
      <c r="A65" s="47" t="s">
        <v>69</v>
      </c>
      <c r="B65" s="47" t="s">
        <v>215</v>
      </c>
      <c r="C65" s="47" t="s">
        <v>216</v>
      </c>
      <c r="D65" s="47" t="s">
        <v>217</v>
      </c>
      <c r="E65" s="47" t="s">
        <v>218</v>
      </c>
    </row>
    <row r="66" spans="1:5" x14ac:dyDescent="0.25">
      <c r="A66" s="2" t="s">
        <v>120</v>
      </c>
      <c r="B66" s="2" t="s">
        <v>219</v>
      </c>
      <c r="C66" s="94" t="s">
        <v>220</v>
      </c>
      <c r="D66" s="95" t="s">
        <v>122</v>
      </c>
      <c r="E66" s="96" t="s">
        <v>221</v>
      </c>
    </row>
    <row r="67" spans="1:5" x14ac:dyDescent="0.25">
      <c r="A67" s="2" t="s">
        <v>124</v>
      </c>
      <c r="B67" s="2" t="s">
        <v>222</v>
      </c>
      <c r="C67" s="94" t="s">
        <v>223</v>
      </c>
      <c r="D67" s="95" t="s">
        <v>136</v>
      </c>
      <c r="E67" s="96" t="s">
        <v>224</v>
      </c>
    </row>
    <row r="68" spans="1:5" x14ac:dyDescent="0.25">
      <c r="A68" s="2" t="s">
        <v>127</v>
      </c>
      <c r="B68" s="2" t="s">
        <v>225</v>
      </c>
      <c r="C68" s="94" t="s">
        <v>226</v>
      </c>
      <c r="D68" s="95" t="s">
        <v>138</v>
      </c>
      <c r="E68" s="96" t="s">
        <v>227</v>
      </c>
    </row>
    <row r="69" spans="1:5" x14ac:dyDescent="0.25">
      <c r="A69" s="2" t="s">
        <v>108</v>
      </c>
      <c r="B69" s="2" t="s">
        <v>228</v>
      </c>
      <c r="C69" s="94" t="s">
        <v>229</v>
      </c>
      <c r="D69" s="95" t="s">
        <v>128</v>
      </c>
      <c r="E69" s="96" t="s">
        <v>230</v>
      </c>
    </row>
    <row r="70" spans="1:5" x14ac:dyDescent="0.25">
      <c r="A70" s="2" t="s">
        <v>231</v>
      </c>
      <c r="B70" s="2" t="s">
        <v>232</v>
      </c>
      <c r="C70" s="94" t="s">
        <v>233</v>
      </c>
      <c r="D70" s="95" t="s">
        <v>132</v>
      </c>
      <c r="E70" s="96" t="s">
        <v>234</v>
      </c>
    </row>
    <row r="72" spans="1:5" ht="17.25" x14ac:dyDescent="0.3">
      <c r="A72" s="89" t="s">
        <v>235</v>
      </c>
    </row>
    <row r="73" spans="1:5" x14ac:dyDescent="0.25">
      <c r="A73" s="47" t="s">
        <v>236</v>
      </c>
      <c r="B73" s="47" t="s">
        <v>237</v>
      </c>
      <c r="C73" s="47" t="s">
        <v>238</v>
      </c>
    </row>
    <row r="74" spans="1:5" x14ac:dyDescent="0.25">
      <c r="A74" s="2" t="s">
        <v>239</v>
      </c>
      <c r="B74" s="2" t="s">
        <v>240</v>
      </c>
      <c r="C74" s="2" t="s">
        <v>241</v>
      </c>
    </row>
    <row r="75" spans="1:5" x14ac:dyDescent="0.25">
      <c r="A75" s="2" t="s">
        <v>242</v>
      </c>
      <c r="B75" s="2" t="s">
        <v>243</v>
      </c>
      <c r="C75" s="2" t="s">
        <v>244</v>
      </c>
    </row>
    <row r="76" spans="1:5" x14ac:dyDescent="0.25">
      <c r="A76" s="99" t="s">
        <v>291</v>
      </c>
      <c r="B76" s="99" t="s">
        <v>290</v>
      </c>
      <c r="C76" s="99" t="s">
        <v>292</v>
      </c>
    </row>
    <row r="78" spans="1:5" ht="17.25" x14ac:dyDescent="0.3">
      <c r="A78" s="89" t="s">
        <v>245</v>
      </c>
    </row>
    <row r="79" spans="1:5" x14ac:dyDescent="0.25">
      <c r="A79" s="47" t="s">
        <v>246</v>
      </c>
      <c r="B79" s="47" t="s">
        <v>247</v>
      </c>
      <c r="C79" s="47" t="s">
        <v>248</v>
      </c>
    </row>
    <row r="80" spans="1:5" x14ac:dyDescent="0.25">
      <c r="A80" s="97" t="s">
        <v>249</v>
      </c>
      <c r="B80" s="2" t="s">
        <v>250</v>
      </c>
      <c r="C80" s="2" t="s">
        <v>251</v>
      </c>
    </row>
    <row r="81" spans="1:3" x14ac:dyDescent="0.25">
      <c r="A81" s="53" t="s">
        <v>252</v>
      </c>
      <c r="B81" s="2" t="s">
        <v>253</v>
      </c>
      <c r="C81" s="2" t="s">
        <v>293</v>
      </c>
    </row>
    <row r="82" spans="1:3" x14ac:dyDescent="0.25">
      <c r="A82" s="98" t="s">
        <v>217</v>
      </c>
      <c r="B82" s="2" t="s">
        <v>254</v>
      </c>
      <c r="C82" s="2" t="s">
        <v>255</v>
      </c>
    </row>
    <row r="83" spans="1:3" x14ac:dyDescent="0.25">
      <c r="A83" s="2" t="s">
        <v>256</v>
      </c>
      <c r="B83" s="2" t="s">
        <v>257</v>
      </c>
      <c r="C83" s="2" t="s">
        <v>258</v>
      </c>
    </row>
    <row r="85" spans="1:3" ht="17.25" x14ac:dyDescent="0.3">
      <c r="A85" s="89" t="s">
        <v>259</v>
      </c>
    </row>
    <row r="86" spans="1:3" x14ac:dyDescent="0.25">
      <c r="A86" s="92" t="s">
        <v>260</v>
      </c>
    </row>
    <row r="87" spans="1:3" x14ac:dyDescent="0.25">
      <c r="A87" s="92" t="s">
        <v>294</v>
      </c>
    </row>
    <row r="88" spans="1:3" x14ac:dyDescent="0.25">
      <c r="A88" s="92" t="s">
        <v>261</v>
      </c>
    </row>
    <row r="89" spans="1:3" x14ac:dyDescent="0.25">
      <c r="A89" s="92" t="s">
        <v>262</v>
      </c>
    </row>
    <row r="90" spans="1:3" x14ac:dyDescent="0.25">
      <c r="A90" s="92" t="s">
        <v>263</v>
      </c>
    </row>
    <row r="91" spans="1:3" x14ac:dyDescent="0.25">
      <c r="A91" s="92" t="s">
        <v>264</v>
      </c>
    </row>
    <row r="93" spans="1:3" x14ac:dyDescent="0.25">
      <c r="A93" s="93" t="s">
        <v>265</v>
      </c>
    </row>
    <row r="94" spans="1:3" x14ac:dyDescent="0.25">
      <c r="A94" s="93" t="s">
        <v>295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00"/>
  <sheetViews>
    <sheetView topLeftCell="B14" workbookViewId="0">
      <selection activeCell="C23" sqref="C23"/>
    </sheetView>
  </sheetViews>
  <sheetFormatPr baseColWidth="10" defaultColWidth="38.5703125" defaultRowHeight="15" x14ac:dyDescent="0.25"/>
  <cols>
    <col min="1" max="1" width="20.28515625" bestFit="1" customWidth="1"/>
    <col min="2" max="2" width="33.42578125" customWidth="1"/>
    <col min="3" max="3" width="18" customWidth="1"/>
    <col min="4" max="4" width="58" style="127" bestFit="1" customWidth="1"/>
  </cols>
  <sheetData>
    <row r="1" spans="1:4" ht="15.75" x14ac:dyDescent="0.25">
      <c r="A1" s="24" t="s">
        <v>0</v>
      </c>
      <c r="B1" s="24" t="s">
        <v>1</v>
      </c>
      <c r="C1" s="25" t="s">
        <v>2</v>
      </c>
      <c r="D1" s="66" t="s">
        <v>3</v>
      </c>
    </row>
    <row r="2" spans="1:4" ht="15.75" x14ac:dyDescent="0.25">
      <c r="A2" s="54" t="s">
        <v>4</v>
      </c>
      <c r="B2" s="54" t="s">
        <v>5</v>
      </c>
      <c r="C2" s="55" t="s">
        <v>42</v>
      </c>
      <c r="D2" s="67" t="str">
        <f>Categorias[[#This Row],[Tipo]] &amp; " - " &amp; Categorias[[#This Row],[Categoría]] &amp; " (" &amp; Categorias[[#This Row],[Descripción]] &amp; ")"</f>
        <v>Ingreso - Salarios (Sueldo de Nomina)</v>
      </c>
    </row>
    <row r="3" spans="1:4" ht="15.75" x14ac:dyDescent="0.25">
      <c r="A3" s="56" t="s">
        <v>6</v>
      </c>
      <c r="B3" s="56" t="s">
        <v>7</v>
      </c>
      <c r="C3" s="55" t="s">
        <v>42</v>
      </c>
      <c r="D3" s="67" t="str">
        <f>Categorias[[#This Row],[Tipo]] &amp; " - " &amp; Categorias[[#This Row],[Categoría]] &amp; " (" &amp; Categorias[[#This Row],[Descripción]] &amp; ")"</f>
        <v>Ingreso - Ingresos extra (Freelance, trabajos adicionales)</v>
      </c>
    </row>
    <row r="4" spans="1:4" ht="15.75" x14ac:dyDescent="0.25">
      <c r="A4" s="54" t="s">
        <v>8</v>
      </c>
      <c r="B4" s="54" t="s">
        <v>9</v>
      </c>
      <c r="C4" s="55" t="s">
        <v>42</v>
      </c>
      <c r="D4" s="67" t="str">
        <f>Categorias[[#This Row],[Tipo]] &amp; " - " &amp; Categorias[[#This Row],[Categoría]] &amp; " (" &amp; Categorias[[#This Row],[Descripción]] &amp; ")"</f>
        <v>Ingreso - Prestaciones (Ayudas del estado, Paro)</v>
      </c>
    </row>
    <row r="5" spans="1:4" ht="16.5" x14ac:dyDescent="0.3">
      <c r="A5" s="57" t="s">
        <v>45</v>
      </c>
      <c r="B5" s="56" t="s">
        <v>10</v>
      </c>
      <c r="C5" s="55" t="s">
        <v>42</v>
      </c>
      <c r="D5" s="67" t="str">
        <f>Categorias[[#This Row],[Tipo]] &amp; " - " &amp; Categorias[[#This Row],[Categoría]] &amp; " (" &amp; Categorias[[#This Row],[Descripción]] &amp; ")"</f>
        <v>Ingreso - Alquileres (Alquiler de propiedades)</v>
      </c>
    </row>
    <row r="6" spans="1:4" ht="16.5" x14ac:dyDescent="0.3">
      <c r="A6" s="57" t="s">
        <v>46</v>
      </c>
      <c r="B6" s="54" t="s">
        <v>11</v>
      </c>
      <c r="C6" s="55" t="s">
        <v>42</v>
      </c>
      <c r="D6" s="67" t="str">
        <f>Categorias[[#This Row],[Tipo]] &amp; " - " &amp; Categorias[[#This Row],[Categoría]] &amp; " (" &amp; Categorias[[#This Row],[Descripción]] &amp; ")"</f>
        <v>Ingreso - Financieros (Rendimientos bancarios)</v>
      </c>
    </row>
    <row r="7" spans="1:4" ht="15.75" x14ac:dyDescent="0.25">
      <c r="A7" s="56" t="s">
        <v>12</v>
      </c>
      <c r="B7" s="56" t="s">
        <v>13</v>
      </c>
      <c r="C7" s="55" t="s">
        <v>42</v>
      </c>
      <c r="D7" s="67" t="str">
        <f>Categorias[[#This Row],[Tipo]] &amp; " - " &amp; Categorias[[#This Row],[Categoría]] &amp; " (" &amp; Categorias[[#This Row],[Descripción]] &amp; ")"</f>
        <v>Ingreso - Devoluciones (Hacienda, seguros)</v>
      </c>
    </row>
    <row r="8" spans="1:4" ht="15.75" x14ac:dyDescent="0.25">
      <c r="A8" s="54" t="s">
        <v>14</v>
      </c>
      <c r="B8" s="54" t="s">
        <v>40</v>
      </c>
      <c r="C8" s="55" t="s">
        <v>42</v>
      </c>
      <c r="D8" s="67" t="str">
        <f>Categorias[[#This Row],[Tipo]] &amp; " - " &amp; Categorias[[#This Row],[Categoría]] &amp; " (" &amp; Categorias[[#This Row],[Descripción]] &amp; ")"</f>
        <v>Ingreso - Otros ingresos (Regalos, Transferencias Recibidas)</v>
      </c>
    </row>
    <row r="9" spans="1:4" x14ac:dyDescent="0.25">
      <c r="A9" s="58" t="s">
        <v>15</v>
      </c>
      <c r="B9" s="58" t="s">
        <v>16</v>
      </c>
      <c r="C9" s="59" t="s">
        <v>38</v>
      </c>
      <c r="D9" s="67" t="str">
        <f>Categorias[[#This Row],[Tipo]] &amp; " - " &amp; Categorias[[#This Row],[Categoría]] &amp; " (" &amp; Categorias[[#This Row],[Descripción]] &amp; ")"</f>
        <v>Gasto Fijo - Vivienda (Alquiler o hipoteca)</v>
      </c>
    </row>
    <row r="10" spans="1:4" ht="16.5" x14ac:dyDescent="0.3">
      <c r="A10" s="57" t="s">
        <v>47</v>
      </c>
      <c r="B10" s="60" t="s">
        <v>17</v>
      </c>
      <c r="C10" s="59" t="s">
        <v>38</v>
      </c>
      <c r="D10" s="67" t="str">
        <f>Categorias[[#This Row],[Tipo]] &amp; " - " &amp; Categorias[[#This Row],[Categoría]] &amp; " (" &amp; Categorias[[#This Row],[Descripción]] &amp; ")"</f>
        <v>Gasto Fijo - Suministros (Luz, agua, gas)</v>
      </c>
    </row>
    <row r="11" spans="1:4" ht="16.5" x14ac:dyDescent="0.3">
      <c r="A11" s="57" t="s">
        <v>48</v>
      </c>
      <c r="B11" s="58" t="s">
        <v>18</v>
      </c>
      <c r="C11" s="59" t="s">
        <v>38</v>
      </c>
      <c r="D11" s="67" t="str">
        <f>Categorias[[#This Row],[Tipo]] &amp; " - " &amp; Categorias[[#This Row],[Categoría]] &amp; " (" &amp; Categorias[[#This Row],[Descripción]] &amp; ")"</f>
        <v>Gasto Fijo - Telecomunicaciones (Internet, móvil)</v>
      </c>
    </row>
    <row r="12" spans="1:4" x14ac:dyDescent="0.25">
      <c r="A12" s="60" t="s">
        <v>19</v>
      </c>
      <c r="B12" s="60" t="s">
        <v>20</v>
      </c>
      <c r="C12" s="59" t="s">
        <v>38</v>
      </c>
      <c r="D12" s="67" t="str">
        <f>Categorias[[#This Row],[Tipo]] &amp; " - " &amp; Categorias[[#This Row],[Categoría]] &amp; " (" &amp; Categorias[[#This Row],[Descripción]] &amp; ")"</f>
        <v>Gasto Fijo - Seguros (Seguro coche, hogar)</v>
      </c>
    </row>
    <row r="13" spans="1:4" x14ac:dyDescent="0.25">
      <c r="A13" s="58" t="s">
        <v>21</v>
      </c>
      <c r="B13" s="58" t="s">
        <v>22</v>
      </c>
      <c r="C13" s="59" t="s">
        <v>38</v>
      </c>
      <c r="D13" s="67" t="str">
        <f>Categorias[[#This Row],[Tipo]] &amp; " - " &amp; Categorias[[#This Row],[Categoría]] &amp; " (" &amp; Categorias[[#This Row],[Descripción]] &amp; ")"</f>
        <v>Gasto Fijo - Educación (Colegios, cursos)</v>
      </c>
    </row>
    <row r="14" spans="1:4" ht="16.5" x14ac:dyDescent="0.3">
      <c r="A14" s="57" t="s">
        <v>49</v>
      </c>
      <c r="B14" s="58" t="s">
        <v>43</v>
      </c>
      <c r="C14" s="59" t="s">
        <v>38</v>
      </c>
      <c r="D14" s="67" t="str">
        <f>Categorias[[#This Row],[Tipo]] &amp; " - " &amp; Categorias[[#This Row],[Categoría]] &amp; " (" &amp; Categorias[[#This Row],[Descripción]] &amp; ")"</f>
        <v>Gasto Fijo - Financiación (Amortizacion de prestamo )</v>
      </c>
    </row>
    <row r="15" spans="1:4" x14ac:dyDescent="0.25">
      <c r="A15" s="60" t="s">
        <v>23</v>
      </c>
      <c r="B15" s="60" t="s">
        <v>24</v>
      </c>
      <c r="C15" s="55" t="s">
        <v>27</v>
      </c>
      <c r="D15" s="67" t="str">
        <f>Categorias[[#This Row],[Tipo]] &amp; " - " &amp; Categorias[[#This Row],[Categoría]] &amp; " (" &amp; Categorias[[#This Row],[Descripción]] &amp; ")"</f>
        <v>Gasto Variable - Transporte (Abono transporte, gasolina)</v>
      </c>
    </row>
    <row r="16" spans="1:4" x14ac:dyDescent="0.25">
      <c r="A16" s="60" t="s">
        <v>25</v>
      </c>
      <c r="B16" s="60" t="s">
        <v>26</v>
      </c>
      <c r="C16" s="55" t="s">
        <v>27</v>
      </c>
      <c r="D16" s="67" t="str">
        <f>Categorias[[#This Row],[Tipo]] &amp; " - " &amp; Categorias[[#This Row],[Categoría]] &amp; " (" &amp; Categorias[[#This Row],[Descripción]] &amp; ")"</f>
        <v>Gasto Variable - Alimentación (Supermercado)</v>
      </c>
    </row>
    <row r="17" spans="1:4" x14ac:dyDescent="0.25">
      <c r="A17" s="58" t="s">
        <v>28</v>
      </c>
      <c r="B17" s="58" t="s">
        <v>29</v>
      </c>
      <c r="C17" s="59" t="s">
        <v>27</v>
      </c>
      <c r="D17" s="67" t="str">
        <f>Categorias[[#This Row],[Tipo]] &amp; " - " &amp; Categorias[[#This Row],[Categoría]] &amp; " (" &amp; Categorias[[#This Row],[Descripción]] &amp; ")"</f>
        <v>Gasto Variable - Restaurantes (Comer fuera)</v>
      </c>
    </row>
    <row r="18" spans="1:4" x14ac:dyDescent="0.25">
      <c r="A18" s="60" t="s">
        <v>30</v>
      </c>
      <c r="B18" s="60" t="s">
        <v>31</v>
      </c>
      <c r="C18" s="55" t="s">
        <v>27</v>
      </c>
      <c r="D18" s="67" t="str">
        <f>Categorias[[#This Row],[Tipo]] &amp; " - " &amp; Categorias[[#This Row],[Categoría]] &amp; " (" &amp; Categorias[[#This Row],[Descripción]] &amp; ")"</f>
        <v>Gasto Variable - Compras (Ropa, electrónica)</v>
      </c>
    </row>
    <row r="19" spans="1:4" ht="16.5" x14ac:dyDescent="0.3">
      <c r="A19" s="57" t="s">
        <v>50</v>
      </c>
      <c r="B19" s="58" t="s">
        <v>32</v>
      </c>
      <c r="C19" s="59" t="s">
        <v>27</v>
      </c>
      <c r="D19" s="67" t="str">
        <f>Categorias[[#This Row],[Tipo]] &amp; " - " &amp; Categorias[[#This Row],[Categoría]] &amp; " (" &amp; Categorias[[#This Row],[Descripción]] &amp; ")"</f>
        <v>Gasto Variable - Sanidad (Farmacia, médicos)</v>
      </c>
    </row>
    <row r="20" spans="1:4" ht="16.5" x14ac:dyDescent="0.3">
      <c r="A20" s="57" t="s">
        <v>52</v>
      </c>
      <c r="B20" s="61" t="s">
        <v>44</v>
      </c>
      <c r="C20" s="62" t="s">
        <v>27</v>
      </c>
      <c r="D20" s="68" t="str">
        <f>Categorias[[#This Row],[Tipo]] &amp; " - " &amp; Categorias[[#This Row],[Categoría]] &amp; " (" &amp; Categorias[[#This Row],[Descripción]] &amp; ")"</f>
        <v>Gasto Variable - Remesas (Remesa Ayudar Familia Cuba )</v>
      </c>
    </row>
    <row r="21" spans="1:4" x14ac:dyDescent="0.25">
      <c r="A21" s="60" t="s">
        <v>33</v>
      </c>
      <c r="B21" s="60" t="s">
        <v>51</v>
      </c>
      <c r="C21" s="55" t="s">
        <v>27</v>
      </c>
      <c r="D21" s="69" t="str">
        <f>Categorias[[#This Row],[Tipo]] &amp; " - " &amp; Categorias[[#This Row],[Categoría]] &amp; " (" &amp; Categorias[[#This Row],[Descripción]] &amp; ")"</f>
        <v>Gasto Variable - Ocio (Cine, Netflix, salidas)</v>
      </c>
    </row>
    <row r="22" spans="1:4" x14ac:dyDescent="0.25">
      <c r="A22" s="60" t="s">
        <v>34</v>
      </c>
      <c r="B22" s="60" t="s">
        <v>39</v>
      </c>
      <c r="C22" s="55" t="s">
        <v>27</v>
      </c>
      <c r="D22" s="69" t="str">
        <f>Categorias[[#This Row],[Tipo]] &amp; " - " &amp; Categorias[[#This Row],[Categoría]] &amp; " (" &amp; Categorias[[#This Row],[Descripción]] &amp; ")"</f>
        <v>Gasto Variable - Otros Gastos (Otros, Tranferencias Enviadas)</v>
      </c>
    </row>
    <row r="23" spans="1:4" ht="16.5" x14ac:dyDescent="0.3">
      <c r="A23" s="63" t="s">
        <v>35</v>
      </c>
      <c r="B23" s="64" t="s">
        <v>70</v>
      </c>
      <c r="C23" s="59" t="s">
        <v>53</v>
      </c>
      <c r="D23" s="69" t="str">
        <f>Categorias[[#This Row],[Tipo]] &amp; " - " &amp; Categorias[[#This Row],[Categoría]] &amp; " (" &amp; Categorias[[#This Row],[Descripción]] &amp; ")"</f>
        <v>Utilidad - Ahorro (Ganacia -Ahorro)</v>
      </c>
    </row>
    <row r="24" spans="1:4" x14ac:dyDescent="0.25">
      <c r="A24" s="65"/>
      <c r="B24" s="65"/>
      <c r="C24" s="65"/>
      <c r="D24" s="70"/>
    </row>
    <row r="25" spans="1:4" x14ac:dyDescent="0.25">
      <c r="A25" s="65"/>
      <c r="B25" s="65"/>
      <c r="C25" s="65"/>
      <c r="D25" s="70"/>
    </row>
    <row r="26" spans="1:4" x14ac:dyDescent="0.25">
      <c r="A26" s="65"/>
      <c r="B26" s="65"/>
      <c r="C26" s="65"/>
      <c r="D26" s="70"/>
    </row>
    <row r="27" spans="1:4" x14ac:dyDescent="0.25">
      <c r="A27" s="65"/>
      <c r="B27" s="65"/>
      <c r="C27" s="65"/>
      <c r="D27" s="70"/>
    </row>
    <row r="28" spans="1:4" x14ac:dyDescent="0.25">
      <c r="A28" s="65"/>
      <c r="B28" s="65"/>
      <c r="C28" s="65"/>
      <c r="D28" s="70"/>
    </row>
    <row r="29" spans="1:4" x14ac:dyDescent="0.25">
      <c r="A29" s="65"/>
      <c r="B29" s="65"/>
      <c r="C29" s="65"/>
      <c r="D29" s="70"/>
    </row>
    <row r="30" spans="1:4" x14ac:dyDescent="0.25">
      <c r="A30" s="65"/>
      <c r="B30" s="65"/>
      <c r="C30" s="65"/>
      <c r="D30" s="70"/>
    </row>
    <row r="31" spans="1:4" x14ac:dyDescent="0.25">
      <c r="A31" s="65"/>
      <c r="B31" s="65"/>
      <c r="C31" s="65"/>
      <c r="D31" s="70"/>
    </row>
    <row r="32" spans="1:4" x14ac:dyDescent="0.25">
      <c r="A32" s="65"/>
      <c r="B32" s="65"/>
      <c r="C32" s="65"/>
      <c r="D32" s="70"/>
    </row>
    <row r="33" spans="1:4" x14ac:dyDescent="0.25">
      <c r="A33" s="65"/>
      <c r="B33" s="65"/>
      <c r="C33" s="65"/>
      <c r="D33" s="70"/>
    </row>
    <row r="34" spans="1:4" x14ac:dyDescent="0.25">
      <c r="A34" s="65"/>
      <c r="B34" s="65"/>
      <c r="C34" s="65"/>
      <c r="D34" s="70"/>
    </row>
    <row r="35" spans="1:4" x14ac:dyDescent="0.25">
      <c r="A35" s="65"/>
      <c r="B35" s="65"/>
      <c r="C35" s="65"/>
      <c r="D35" s="70"/>
    </row>
    <row r="36" spans="1:4" x14ac:dyDescent="0.25">
      <c r="A36" s="65"/>
      <c r="B36" s="65"/>
      <c r="C36" s="65"/>
      <c r="D36" s="70"/>
    </row>
    <row r="37" spans="1:4" x14ac:dyDescent="0.25">
      <c r="A37" s="65"/>
      <c r="B37" s="65"/>
      <c r="C37" s="65"/>
      <c r="D37" s="70"/>
    </row>
    <row r="38" spans="1:4" x14ac:dyDescent="0.25">
      <c r="A38" s="65"/>
      <c r="B38" s="65"/>
      <c r="C38" s="65"/>
      <c r="D38" s="70"/>
    </row>
    <row r="39" spans="1:4" x14ac:dyDescent="0.25">
      <c r="A39" s="65"/>
      <c r="B39" s="65"/>
      <c r="C39" s="65"/>
      <c r="D39" s="70"/>
    </row>
    <row r="40" spans="1:4" x14ac:dyDescent="0.25">
      <c r="A40" s="65"/>
      <c r="B40" s="65"/>
      <c r="C40" s="65"/>
      <c r="D40" s="70"/>
    </row>
    <row r="41" spans="1:4" x14ac:dyDescent="0.25">
      <c r="A41" s="65"/>
      <c r="B41" s="65"/>
      <c r="C41" s="65"/>
      <c r="D41" s="70"/>
    </row>
    <row r="42" spans="1:4" x14ac:dyDescent="0.25">
      <c r="A42" s="65"/>
      <c r="B42" s="65"/>
      <c r="C42" s="65"/>
      <c r="D42" s="70"/>
    </row>
    <row r="43" spans="1:4" x14ac:dyDescent="0.25">
      <c r="A43" s="65"/>
      <c r="B43" s="65"/>
      <c r="C43" s="65"/>
      <c r="D43" s="70"/>
    </row>
    <row r="44" spans="1:4" x14ac:dyDescent="0.25">
      <c r="A44" s="65"/>
      <c r="B44" s="65"/>
      <c r="C44" s="65"/>
      <c r="D44" s="70"/>
    </row>
    <row r="45" spans="1:4" x14ac:dyDescent="0.25">
      <c r="A45" s="65"/>
      <c r="B45" s="65"/>
      <c r="C45" s="65"/>
      <c r="D45" s="70"/>
    </row>
    <row r="46" spans="1:4" x14ac:dyDescent="0.25">
      <c r="A46" s="65"/>
      <c r="B46" s="65"/>
      <c r="C46" s="65"/>
      <c r="D46" s="70"/>
    </row>
    <row r="47" spans="1:4" x14ac:dyDescent="0.25">
      <c r="A47" s="65"/>
      <c r="B47" s="65"/>
      <c r="C47" s="65"/>
      <c r="D47" s="70"/>
    </row>
    <row r="48" spans="1:4" x14ac:dyDescent="0.25">
      <c r="A48" s="65"/>
      <c r="B48" s="65"/>
      <c r="C48" s="65"/>
      <c r="D48" s="70"/>
    </row>
    <row r="49" spans="1:4" x14ac:dyDescent="0.25">
      <c r="A49" s="65"/>
      <c r="B49" s="65"/>
      <c r="C49" s="65"/>
      <c r="D49" s="70"/>
    </row>
    <row r="50" spans="1:4" x14ac:dyDescent="0.25">
      <c r="A50" s="65"/>
      <c r="B50" s="65"/>
      <c r="C50" s="65"/>
      <c r="D50" s="70"/>
    </row>
    <row r="51" spans="1:4" x14ac:dyDescent="0.25">
      <c r="A51" s="65"/>
      <c r="B51" s="65"/>
      <c r="C51" s="65"/>
      <c r="D51" s="70"/>
    </row>
    <row r="52" spans="1:4" x14ac:dyDescent="0.25">
      <c r="A52" s="65"/>
      <c r="B52" s="65"/>
      <c r="C52" s="65"/>
      <c r="D52" s="70"/>
    </row>
    <row r="53" spans="1:4" x14ac:dyDescent="0.25">
      <c r="A53" s="65"/>
      <c r="B53" s="65"/>
      <c r="C53" s="65"/>
      <c r="D53" s="70"/>
    </row>
    <row r="54" spans="1:4" x14ac:dyDescent="0.25">
      <c r="A54" s="65"/>
      <c r="B54" s="65"/>
      <c r="C54" s="65"/>
      <c r="D54" s="70"/>
    </row>
    <row r="55" spans="1:4" x14ac:dyDescent="0.25">
      <c r="A55" s="65"/>
      <c r="B55" s="65"/>
      <c r="C55" s="65"/>
      <c r="D55" s="70"/>
    </row>
    <row r="56" spans="1:4" x14ac:dyDescent="0.25">
      <c r="A56" s="65"/>
      <c r="B56" s="65"/>
      <c r="C56" s="65"/>
      <c r="D56" s="70"/>
    </row>
    <row r="57" spans="1:4" x14ac:dyDescent="0.25">
      <c r="A57" s="65"/>
      <c r="B57" s="65"/>
      <c r="C57" s="65"/>
      <c r="D57" s="70"/>
    </row>
    <row r="58" spans="1:4" x14ac:dyDescent="0.25">
      <c r="A58" s="65"/>
      <c r="B58" s="65"/>
      <c r="C58" s="65"/>
      <c r="D58" s="70"/>
    </row>
    <row r="59" spans="1:4" x14ac:dyDescent="0.25">
      <c r="A59" s="65"/>
      <c r="B59" s="65"/>
      <c r="C59" s="65"/>
      <c r="D59" s="70"/>
    </row>
    <row r="60" spans="1:4" x14ac:dyDescent="0.25">
      <c r="A60" s="65"/>
      <c r="B60" s="65"/>
      <c r="C60" s="65"/>
      <c r="D60" s="70"/>
    </row>
    <row r="61" spans="1:4" x14ac:dyDescent="0.25">
      <c r="A61" s="65"/>
      <c r="B61" s="65"/>
      <c r="C61" s="65"/>
      <c r="D61" s="70"/>
    </row>
    <row r="62" spans="1:4" x14ac:dyDescent="0.25">
      <c r="A62" s="65"/>
      <c r="B62" s="65"/>
      <c r="C62" s="65"/>
      <c r="D62" s="70"/>
    </row>
    <row r="63" spans="1:4" x14ac:dyDescent="0.25">
      <c r="A63" s="65"/>
      <c r="B63" s="65"/>
      <c r="C63" s="65"/>
      <c r="D63" s="70"/>
    </row>
    <row r="64" spans="1:4" x14ac:dyDescent="0.25">
      <c r="A64" s="65"/>
      <c r="B64" s="65"/>
      <c r="C64" s="65"/>
      <c r="D64" s="70"/>
    </row>
    <row r="65" spans="1:4" x14ac:dyDescent="0.25">
      <c r="A65" s="65"/>
      <c r="B65" s="65"/>
      <c r="C65" s="65"/>
      <c r="D65" s="70"/>
    </row>
    <row r="66" spans="1:4" x14ac:dyDescent="0.25">
      <c r="A66" s="65"/>
      <c r="B66" s="65"/>
      <c r="C66" s="65"/>
      <c r="D66" s="70"/>
    </row>
    <row r="67" spans="1:4" x14ac:dyDescent="0.25">
      <c r="A67" s="65"/>
      <c r="B67" s="65"/>
      <c r="C67" s="65"/>
      <c r="D67" s="70"/>
    </row>
    <row r="68" spans="1:4" x14ac:dyDescent="0.25">
      <c r="A68" s="65"/>
      <c r="B68" s="65"/>
      <c r="C68" s="65"/>
      <c r="D68" s="70"/>
    </row>
    <row r="69" spans="1:4" x14ac:dyDescent="0.25">
      <c r="A69" s="65"/>
      <c r="B69" s="65"/>
      <c r="C69" s="65"/>
      <c r="D69" s="70"/>
    </row>
    <row r="70" spans="1:4" x14ac:dyDescent="0.25">
      <c r="A70" s="65"/>
      <c r="B70" s="65"/>
      <c r="C70" s="65"/>
      <c r="D70" s="70"/>
    </row>
    <row r="71" spans="1:4" x14ac:dyDescent="0.25">
      <c r="A71" s="65"/>
      <c r="B71" s="65"/>
      <c r="C71" s="65"/>
      <c r="D71" s="70"/>
    </row>
    <row r="72" spans="1:4" x14ac:dyDescent="0.25">
      <c r="A72" s="65"/>
      <c r="B72" s="65"/>
      <c r="C72" s="65"/>
      <c r="D72" s="70"/>
    </row>
    <row r="73" spans="1:4" x14ac:dyDescent="0.25">
      <c r="A73" s="65"/>
      <c r="B73" s="65"/>
      <c r="C73" s="65"/>
      <c r="D73" s="70"/>
    </row>
    <row r="74" spans="1:4" x14ac:dyDescent="0.25">
      <c r="A74" s="65"/>
      <c r="B74" s="65"/>
      <c r="C74" s="65"/>
      <c r="D74" s="70"/>
    </row>
    <row r="75" spans="1:4" x14ac:dyDescent="0.25">
      <c r="A75" s="65"/>
      <c r="B75" s="65"/>
      <c r="C75" s="65"/>
      <c r="D75" s="70"/>
    </row>
    <row r="76" spans="1:4" x14ac:dyDescent="0.25">
      <c r="A76" s="65"/>
      <c r="B76" s="65"/>
      <c r="C76" s="65"/>
      <c r="D76" s="70"/>
    </row>
    <row r="77" spans="1:4" x14ac:dyDescent="0.25">
      <c r="A77" s="65"/>
      <c r="B77" s="65"/>
      <c r="C77" s="65"/>
      <c r="D77" s="70"/>
    </row>
    <row r="78" spans="1:4" x14ac:dyDescent="0.25">
      <c r="A78" s="65"/>
      <c r="B78" s="65"/>
      <c r="C78" s="65"/>
      <c r="D78" s="70"/>
    </row>
    <row r="79" spans="1:4" x14ac:dyDescent="0.25">
      <c r="A79" s="65"/>
      <c r="B79" s="65"/>
      <c r="C79" s="65"/>
      <c r="D79" s="70"/>
    </row>
    <row r="80" spans="1:4" x14ac:dyDescent="0.25">
      <c r="A80" s="65"/>
      <c r="B80" s="65"/>
      <c r="C80" s="65"/>
      <c r="D80" s="70"/>
    </row>
    <row r="81" spans="1:4" x14ac:dyDescent="0.25">
      <c r="A81" s="65"/>
      <c r="B81" s="65"/>
      <c r="C81" s="65"/>
      <c r="D81" s="70"/>
    </row>
    <row r="82" spans="1:4" x14ac:dyDescent="0.25">
      <c r="A82" s="65"/>
      <c r="B82" s="65"/>
      <c r="C82" s="65"/>
      <c r="D82" s="70"/>
    </row>
    <row r="83" spans="1:4" x14ac:dyDescent="0.25">
      <c r="A83" s="65"/>
      <c r="B83" s="65"/>
      <c r="C83" s="65"/>
      <c r="D83" s="70"/>
    </row>
    <row r="84" spans="1:4" x14ac:dyDescent="0.25">
      <c r="A84" s="65"/>
      <c r="B84" s="65"/>
      <c r="C84" s="65"/>
      <c r="D84" s="70"/>
    </row>
    <row r="85" spans="1:4" x14ac:dyDescent="0.25">
      <c r="A85" s="65"/>
      <c r="B85" s="65"/>
      <c r="C85" s="65"/>
      <c r="D85" s="70"/>
    </row>
    <row r="86" spans="1:4" x14ac:dyDescent="0.25">
      <c r="A86" s="65"/>
      <c r="B86" s="65"/>
      <c r="C86" s="65"/>
      <c r="D86" s="70"/>
    </row>
    <row r="87" spans="1:4" x14ac:dyDescent="0.25">
      <c r="A87" s="65"/>
      <c r="B87" s="65"/>
      <c r="C87" s="65"/>
      <c r="D87" s="70"/>
    </row>
    <row r="88" spans="1:4" x14ac:dyDescent="0.25">
      <c r="A88" s="65"/>
      <c r="B88" s="65"/>
      <c r="C88" s="65"/>
      <c r="D88" s="70"/>
    </row>
    <row r="89" spans="1:4" x14ac:dyDescent="0.25">
      <c r="A89" s="65"/>
      <c r="B89" s="65"/>
      <c r="C89" s="65"/>
      <c r="D89" s="70"/>
    </row>
    <row r="90" spans="1:4" x14ac:dyDescent="0.25">
      <c r="A90" s="65"/>
      <c r="B90" s="65"/>
      <c r="C90" s="65"/>
      <c r="D90" s="70"/>
    </row>
    <row r="91" spans="1:4" x14ac:dyDescent="0.25">
      <c r="A91" s="65"/>
      <c r="B91" s="65"/>
      <c r="C91" s="65"/>
      <c r="D91" s="70"/>
    </row>
    <row r="92" spans="1:4" x14ac:dyDescent="0.25">
      <c r="A92" s="65"/>
      <c r="B92" s="65"/>
      <c r="C92" s="65"/>
      <c r="D92" s="70"/>
    </row>
    <row r="93" spans="1:4" x14ac:dyDescent="0.25">
      <c r="A93" s="65"/>
      <c r="B93" s="65"/>
      <c r="C93" s="65"/>
      <c r="D93" s="70"/>
    </row>
    <row r="94" spans="1:4" x14ac:dyDescent="0.25">
      <c r="A94" s="65"/>
      <c r="B94" s="65"/>
      <c r="C94" s="65"/>
      <c r="D94" s="70"/>
    </row>
    <row r="95" spans="1:4" x14ac:dyDescent="0.25">
      <c r="A95" s="65"/>
      <c r="B95" s="65"/>
      <c r="C95" s="65"/>
      <c r="D95" s="70"/>
    </row>
    <row r="96" spans="1:4" x14ac:dyDescent="0.25">
      <c r="A96" s="65"/>
      <c r="B96" s="65"/>
      <c r="C96" s="65"/>
      <c r="D96" s="70"/>
    </row>
    <row r="97" spans="1:4" x14ac:dyDescent="0.25">
      <c r="A97" s="65"/>
      <c r="B97" s="65"/>
      <c r="C97" s="65"/>
      <c r="D97" s="70"/>
    </row>
    <row r="98" spans="1:4" x14ac:dyDescent="0.25">
      <c r="A98" s="65"/>
      <c r="B98" s="65"/>
      <c r="C98" s="65"/>
      <c r="D98" s="70"/>
    </row>
    <row r="99" spans="1:4" x14ac:dyDescent="0.25">
      <c r="A99" s="65"/>
      <c r="B99" s="65"/>
      <c r="C99" s="65"/>
      <c r="D99" s="70"/>
    </row>
    <row r="100" spans="1:4" x14ac:dyDescent="0.25">
      <c r="A100" s="65"/>
      <c r="B100" s="65"/>
      <c r="C100" s="65"/>
      <c r="D100" s="70"/>
    </row>
  </sheetData>
  <sheetProtection sheet="1" scenarios="1"/>
  <dataValidations count="1">
    <dataValidation type="list" allowBlank="1" showInputMessage="1" showErrorMessage="1" errorTitle="❌ Tipo no válido" error="Por favor, selecciona un tipo de la lista:_x000a_• Ingreso_x000a_• Gasto Fijo_x000a_• Gasto Variable_x000a_• Utilidad" promptTitle="📋 Tipo de Categoría" prompt="Selecciona el tipo:_x000a_• Ingreso_x000a_• Gasto Fijo_x000a_• Gasto Variable_x000a_• Utilidad" sqref="C2:C100" xr:uid="{0E667A1A-9CDF-49DC-8D1D-2603FA294CDE}">
      <formula1>"Ingreso,Gasto Fijo,Gasto Variable,Utilidad"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996D-5CA9-4FD8-848E-905CEF5C98AA}">
  <sheetPr codeName="Hoja2"/>
  <dimension ref="A1:G23"/>
  <sheetViews>
    <sheetView topLeftCell="C1" zoomScaleNormal="100" workbookViewId="0">
      <selection activeCell="E6" sqref="E6"/>
    </sheetView>
  </sheetViews>
  <sheetFormatPr baseColWidth="10" defaultRowHeight="15" x14ac:dyDescent="0.25"/>
  <cols>
    <col min="1" max="1" width="33.140625" customWidth="1"/>
    <col min="3" max="3" width="20.28515625" bestFit="1" customWidth="1"/>
    <col min="4" max="4" width="33.5703125" customWidth="1"/>
    <col min="5" max="5" width="23.28515625" customWidth="1"/>
    <col min="6" max="6" width="16.28515625" bestFit="1" customWidth="1"/>
  </cols>
  <sheetData>
    <row r="1" spans="1:7" ht="15.75" x14ac:dyDescent="0.25">
      <c r="A1" s="21" t="s">
        <v>0</v>
      </c>
      <c r="B1" s="22" t="s">
        <v>37</v>
      </c>
      <c r="C1" s="74" t="s">
        <v>41</v>
      </c>
    </row>
    <row r="2" spans="1:7" ht="16.5" thickBot="1" x14ac:dyDescent="0.3">
      <c r="A2" s="71" t="s">
        <v>4</v>
      </c>
      <c r="B2" s="72">
        <v>2950</v>
      </c>
      <c r="C2" s="70" t="str">
        <f>_xlfn.XLOOKUP(A:A,'Categorias '!A:A,'Categorias '!C:C,"Sin respuesta")</f>
        <v>Ingreso</v>
      </c>
      <c r="D2" s="78" t="s">
        <v>114</v>
      </c>
      <c r="E2" s="74" t="s">
        <v>2</v>
      </c>
      <c r="F2" s="74" t="s">
        <v>37</v>
      </c>
      <c r="G2" s="74" t="s">
        <v>36</v>
      </c>
    </row>
    <row r="3" spans="1:7" ht="17.25" thickBot="1" x14ac:dyDescent="0.3">
      <c r="A3" s="71" t="s">
        <v>6</v>
      </c>
      <c r="B3" s="72">
        <v>0</v>
      </c>
      <c r="C3" s="70" t="str">
        <f>_xlfn.XLOOKUP(A:A,'Categorias '!A:A,'Categorias '!C:C,"Sin respuesta")</f>
        <v>Ingreso</v>
      </c>
      <c r="D3" s="79" t="s">
        <v>115</v>
      </c>
      <c r="E3" s="75" t="s">
        <v>42</v>
      </c>
      <c r="F3" s="70">
        <f>SUMIF(PlanPatron[tipo],E3,PlanPatron[Importe])</f>
        <v>3050</v>
      </c>
      <c r="G3" s="76">
        <v>1</v>
      </c>
    </row>
    <row r="4" spans="1:7" ht="17.25" thickBot="1" x14ac:dyDescent="0.3">
      <c r="A4" s="71" t="str">
        <f>Categorias[[#This Row],[Categoría]]</f>
        <v>Prestaciones</v>
      </c>
      <c r="B4" s="72">
        <v>50</v>
      </c>
      <c r="C4" s="70" t="str">
        <f>_xlfn.XLOOKUP(A:A,'Categorias '!A:A,'Categorias '!C:C,"Sin respuesta")</f>
        <v>Ingreso</v>
      </c>
      <c r="E4" s="77" t="s">
        <v>38</v>
      </c>
      <c r="F4" s="70">
        <f>SUMIF(PlanPatron[tipo],E4,PlanPatron[Importe])</f>
        <v>1440</v>
      </c>
      <c r="G4" s="76">
        <f>IFERROR(F4/$F$3,0)</f>
        <v>0.47213114754098362</v>
      </c>
    </row>
    <row r="5" spans="1:7" ht="17.25" thickBot="1" x14ac:dyDescent="0.3">
      <c r="A5" s="71" t="str">
        <f>Categorias[[#This Row],[Categoría]]</f>
        <v>Alquileres</v>
      </c>
      <c r="B5" s="72">
        <v>0</v>
      </c>
      <c r="C5" s="70" t="str">
        <f>_xlfn.XLOOKUP(A:A,'Categorias '!A:A,'Categorias '!C:C,"Sin respuesta")</f>
        <v>Ingreso</v>
      </c>
      <c r="E5" s="77" t="s">
        <v>27</v>
      </c>
      <c r="F5" s="70">
        <f>SUMIF(PlanPatron[tipo],E5,PlanPatron[Importe])</f>
        <v>985</v>
      </c>
      <c r="G5" s="76">
        <f>IFERROR(F5/$F$3,0)</f>
        <v>0.32295081967213113</v>
      </c>
    </row>
    <row r="6" spans="1:7" ht="17.25" thickBot="1" x14ac:dyDescent="0.3">
      <c r="A6" s="71" t="s">
        <v>46</v>
      </c>
      <c r="B6" s="72">
        <v>0</v>
      </c>
      <c r="C6" s="70" t="str">
        <f>_xlfn.XLOOKUP(A:A,'Categorias '!A:A,'Categorias '!C:C,"Sin respuesta")</f>
        <v>Ingreso</v>
      </c>
      <c r="E6" s="77" t="s">
        <v>53</v>
      </c>
      <c r="F6" s="70">
        <f>SUMIF(PlanPatron[tipo],E6,PlanPatron[Importe])</f>
        <v>625</v>
      </c>
      <c r="G6" s="76">
        <f>IFERROR(F6/$F$3,0)</f>
        <v>0.20491803278688525</v>
      </c>
    </row>
    <row r="7" spans="1:7" ht="15.75" x14ac:dyDescent="0.25">
      <c r="A7" s="71" t="str">
        <f>Categorias[[#This Row],[Categoría]]</f>
        <v>Devoluciones</v>
      </c>
      <c r="B7" s="72">
        <v>0</v>
      </c>
      <c r="C7" s="70" t="str">
        <f>_xlfn.XLOOKUP(A:A,'Categorias '!A:A,'Categorias '!C:C,"Sin respuesta")</f>
        <v>Ingreso</v>
      </c>
    </row>
    <row r="8" spans="1:7" ht="15.75" x14ac:dyDescent="0.25">
      <c r="A8" s="71" t="str">
        <f>Categorias[[#This Row],[Categoría]]</f>
        <v>Otros ingresos</v>
      </c>
      <c r="B8" s="72">
        <v>50</v>
      </c>
      <c r="C8" s="70" t="str">
        <f>_xlfn.XLOOKUP(A:A,'Categorias '!A:A,'Categorias '!C:C,"Sin respuesta")</f>
        <v>Ingreso</v>
      </c>
    </row>
    <row r="9" spans="1:7" ht="16.5" thickBot="1" x14ac:dyDescent="0.3">
      <c r="A9" s="71" t="str">
        <f>Categorias[[#This Row],[Categoría]]</f>
        <v>Vivienda</v>
      </c>
      <c r="B9" s="72">
        <v>750</v>
      </c>
      <c r="C9" s="70" t="str">
        <f>_xlfn.XLOOKUP(A:A,'Categorias '!A:A,'Categorias '!C:C,"Sin respuesta")</f>
        <v>Gasto Fijo</v>
      </c>
    </row>
    <row r="10" spans="1:7" ht="17.25" thickBot="1" x14ac:dyDescent="0.3">
      <c r="A10" s="71" t="s">
        <v>47</v>
      </c>
      <c r="B10" s="72">
        <v>200</v>
      </c>
      <c r="C10" s="70" t="str">
        <f>_xlfn.XLOOKUP(A:A,'Categorias '!A:A,'Categorias '!C:C,"Sin respuesta")</f>
        <v>Gasto Fijo</v>
      </c>
      <c r="E10" s="1"/>
    </row>
    <row r="11" spans="1:7" ht="17.25" thickBot="1" x14ac:dyDescent="0.3">
      <c r="A11" s="71" t="str">
        <f>Categorias[[#This Row],[Categoría]]</f>
        <v>Telecomunicaciones</v>
      </c>
      <c r="B11" s="72">
        <v>125</v>
      </c>
      <c r="C11" s="70" t="str">
        <f>_xlfn.XLOOKUP(A:A,'Categorias '!A:A,'Categorias '!C:C,"Sin respuesta")</f>
        <v>Gasto Fijo</v>
      </c>
      <c r="E11" s="1"/>
    </row>
    <row r="12" spans="1:7" ht="17.25" thickBot="1" x14ac:dyDescent="0.3">
      <c r="A12" s="71" t="str">
        <f>Categorias[[#This Row],[Categoría]]</f>
        <v>Seguros</v>
      </c>
      <c r="B12" s="72">
        <v>65</v>
      </c>
      <c r="C12" s="70" t="str">
        <f>_xlfn.XLOOKUP(A:A,'Categorias '!A:A,'Categorias '!C:C,"Sin respuesta")</f>
        <v>Gasto Fijo</v>
      </c>
      <c r="E12" s="1"/>
    </row>
    <row r="13" spans="1:7" ht="17.25" thickBot="1" x14ac:dyDescent="0.3">
      <c r="A13" s="71" t="str">
        <f>Categorias[[#This Row],[Categoría]]</f>
        <v>Educación</v>
      </c>
      <c r="B13" s="72">
        <v>50</v>
      </c>
      <c r="C13" s="70" t="str">
        <f>_xlfn.XLOOKUP(A:A,'Categorias '!A:A,'Categorias '!C:C,"Sin respuesta")</f>
        <v>Gasto Fijo</v>
      </c>
      <c r="E13" s="1"/>
    </row>
    <row r="14" spans="1:7" ht="15.75" x14ac:dyDescent="0.25">
      <c r="A14" s="71" t="str">
        <f>Categorias[[#This Row],[Categoría]]</f>
        <v>Financiación</v>
      </c>
      <c r="B14" s="72">
        <v>250</v>
      </c>
      <c r="C14" s="70" t="str">
        <f>_xlfn.XLOOKUP(A:A,'Categorias '!A:A,'Categorias '!C:C,"Sin respuesta")</f>
        <v>Gasto Fijo</v>
      </c>
    </row>
    <row r="15" spans="1:7" ht="15.75" x14ac:dyDescent="0.25">
      <c r="A15" s="71" t="str">
        <f>Categorias[[#This Row],[Categoría]]</f>
        <v>Transporte</v>
      </c>
      <c r="B15" s="72">
        <v>120</v>
      </c>
      <c r="C15" s="70" t="str">
        <f>_xlfn.XLOOKUP(A:A,'Categorias '!A:A,'Categorias '!C:C,"Sin respuesta")</f>
        <v>Gasto Variable</v>
      </c>
    </row>
    <row r="16" spans="1:7" ht="15.75" x14ac:dyDescent="0.25">
      <c r="A16" s="71" t="str">
        <f>Categorias[[#This Row],[Categoría]]</f>
        <v>Alimentación</v>
      </c>
      <c r="B16" s="72">
        <v>550</v>
      </c>
      <c r="C16" s="70" t="str">
        <f>_xlfn.XLOOKUP(A:A,'Categorias '!A:A,'Categorias '!C:C,"Sin respuesta")</f>
        <v>Gasto Variable</v>
      </c>
    </row>
    <row r="17" spans="1:3" ht="15.75" x14ac:dyDescent="0.25">
      <c r="A17" s="71" t="str">
        <f>Categorias[[#This Row],[Categoría]]</f>
        <v>Restaurantes</v>
      </c>
      <c r="B17" s="72">
        <v>150</v>
      </c>
      <c r="C17" s="70" t="str">
        <f>_xlfn.XLOOKUP(A:A,'Categorias '!A:A,'Categorias '!C:C,"Sin respuesta")</f>
        <v>Gasto Variable</v>
      </c>
    </row>
    <row r="18" spans="1:3" ht="15.75" x14ac:dyDescent="0.25">
      <c r="A18" s="71" t="str">
        <f>Categorias[[#This Row],[Categoría]]</f>
        <v>Compras</v>
      </c>
      <c r="B18" s="72">
        <v>50</v>
      </c>
      <c r="C18" s="70" t="str">
        <f>_xlfn.XLOOKUP(A:A,'Categorias '!A:A,'Categorias '!C:C,"Sin respuesta")</f>
        <v>Gasto Variable</v>
      </c>
    </row>
    <row r="19" spans="1:3" ht="15.75" x14ac:dyDescent="0.25">
      <c r="A19" s="71" t="str">
        <f>Categorias[[#This Row],[Categoría]]</f>
        <v>Sanidad</v>
      </c>
      <c r="B19" s="72">
        <v>10</v>
      </c>
      <c r="C19" s="70" t="str">
        <f>_xlfn.XLOOKUP(A:A,'Categorias '!A:A,'Categorias '!C:C,"Sin respuesta")</f>
        <v>Gasto Variable</v>
      </c>
    </row>
    <row r="20" spans="1:3" ht="15.75" x14ac:dyDescent="0.25">
      <c r="A20" s="71" t="str">
        <f>Categorias[[#This Row],[Categoría]]</f>
        <v>Remesas</v>
      </c>
      <c r="B20" s="72">
        <v>100</v>
      </c>
      <c r="C20" s="70" t="str">
        <f>_xlfn.XLOOKUP(A:A,'Categorias '!A:A,'Categorias '!C:C,"Sin respuesta")</f>
        <v>Gasto Variable</v>
      </c>
    </row>
    <row r="21" spans="1:3" ht="15.75" x14ac:dyDescent="0.25">
      <c r="A21" s="71" t="s">
        <v>33</v>
      </c>
      <c r="B21" s="72">
        <v>5</v>
      </c>
      <c r="C21" s="70" t="str">
        <f>_xlfn.XLOOKUP(A:A,'Categorias '!A:A,'Categorias '!C:C,"Sin respuesta")</f>
        <v>Gasto Variable</v>
      </c>
    </row>
    <row r="22" spans="1:3" ht="15.75" x14ac:dyDescent="0.25">
      <c r="A22" s="71" t="s">
        <v>34</v>
      </c>
      <c r="B22" s="72">
        <v>0</v>
      </c>
      <c r="C22" s="70" t="str">
        <f>_xlfn.XLOOKUP(A:A,'Categorias '!A:A,'Categorias '!C:C,"Sin respuesta")</f>
        <v>Gasto Variable</v>
      </c>
    </row>
    <row r="23" spans="1:3" ht="21.75" customHeight="1" x14ac:dyDescent="0.25">
      <c r="A23" s="71" t="s">
        <v>35</v>
      </c>
      <c r="B23" s="73">
        <f>SUM(B2:B8)-SUM(B9:B22)</f>
        <v>625</v>
      </c>
      <c r="C23" s="70" t="str">
        <f>_xlfn.XLOOKUP(A:A,'Categorias '!A:A,'Categorias '!C:C,"Sin respuesta")</f>
        <v>Utilidad</v>
      </c>
    </row>
  </sheetData>
  <sheetProtection sheet="1" objects="1" scenarios="1"/>
  <phoneticPr fontId="2" type="noConversion"/>
  <dataValidations count="3">
    <dataValidation operator="greaterThanOrEqual" allowBlank="1" showInputMessage="1" showErrorMessage="1" error="Número mayor que o = 0, sin decimal" sqref="B1" xr:uid="{8994A9EE-8333-48ED-A57F-6AA4819B680F}"/>
    <dataValidation type="whole" operator="greaterThanOrEqual" allowBlank="1" showInputMessage="1" showErrorMessage="1" error="Número mayor que 0 sin decimal" sqref="B4:B1048576" xr:uid="{3189E9B8-E30C-4178-A521-A1FBB5C6378F}">
      <formula1>0</formula1>
    </dataValidation>
    <dataValidation operator="greaterThan" allowBlank="1" showInputMessage="1" showErrorMessage="1" errorTitle="Fecha no válida" error="Por favor, introduce una fecha válida._x000a_Formato: DD/MM/AAAA_x000a_Ejemplo: 31/01/2025" promptTitle="📅 Fecha del Plan" prompt="Introduce una fecha válida._x000a_Formato: DD/MM/AAAA_x000a_Ejemplo: 31/01/2025" sqref="D3" xr:uid="{8D43EA89-2563-4383-B3DE-96C67C000F07}"/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C8DC8D-7A46-4802-962D-5D7BBEB00250}">
          <x14:formula1>
            <xm:f>'Categorias '!$D$2:$D$997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BB61-400B-4BC0-93A7-3D169539E726}">
  <sheetPr codeName="Hoja3">
    <tabColor indexed="9"/>
  </sheetPr>
  <dimension ref="A1:AE75"/>
  <sheetViews>
    <sheetView zoomScale="85" zoomScaleNormal="85" zoomScaleSheetLayoutView="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12" sqref="D12"/>
    </sheetView>
  </sheetViews>
  <sheetFormatPr baseColWidth="10" defaultColWidth="9.140625" defaultRowHeight="15" customHeight="1" x14ac:dyDescent="0.2"/>
  <cols>
    <col min="1" max="1" width="34.28515625" style="3" customWidth="1"/>
    <col min="2" max="2" width="22.85546875" style="4" customWidth="1"/>
    <col min="3" max="3" width="26.7109375" style="4" customWidth="1"/>
    <col min="4" max="4" width="22.85546875" style="5" customWidth="1"/>
    <col min="5" max="5" width="18.140625" style="5" customWidth="1"/>
    <col min="6" max="6" width="18.7109375" style="4" customWidth="1"/>
    <col min="7" max="7" width="15.42578125" style="4" bestFit="1" customWidth="1"/>
    <col min="8" max="10" width="14.85546875" style="4" bestFit="1" customWidth="1"/>
    <col min="11" max="11" width="21.7109375" style="4" customWidth="1"/>
    <col min="12" max="12" width="16.85546875" style="4" bestFit="1" customWidth="1"/>
    <col min="13" max="13" width="20.140625" style="4" bestFit="1" customWidth="1"/>
    <col min="14" max="14" width="18.7109375" style="4" bestFit="1" customWidth="1"/>
    <col min="15" max="16" width="16.7109375" style="4" bestFit="1" customWidth="1"/>
    <col min="17" max="17" width="30.7109375" style="4" customWidth="1"/>
    <col min="18" max="22" width="16.7109375" style="4" bestFit="1" customWidth="1"/>
    <col min="23" max="23" width="24.5703125" style="4" bestFit="1" customWidth="1"/>
    <col min="24" max="24" width="16.85546875" style="4" bestFit="1" customWidth="1"/>
    <col min="25" max="25" width="20.140625" style="3" bestFit="1" customWidth="1"/>
    <col min="26" max="26" width="18.7109375" style="3" bestFit="1" customWidth="1"/>
    <col min="27" max="16384" width="9.140625" style="3"/>
  </cols>
  <sheetData>
    <row r="1" spans="1:31" s="7" customFormat="1" ht="36" customHeight="1" thickBot="1" x14ac:dyDescent="0.45">
      <c r="A1" s="20" t="s">
        <v>75</v>
      </c>
      <c r="B1" s="19"/>
      <c r="C1" s="17"/>
      <c r="D1" s="17"/>
      <c r="E1" s="13" t="s">
        <v>68</v>
      </c>
      <c r="F1" s="17"/>
      <c r="G1" s="17"/>
      <c r="H1" s="17"/>
      <c r="I1" s="18"/>
      <c r="J1" s="17"/>
      <c r="K1" s="16"/>
      <c r="L1" s="16"/>
      <c r="M1" s="16"/>
      <c r="N1" s="15"/>
      <c r="O1" s="14"/>
      <c r="P1" s="12"/>
      <c r="Q1" s="13" t="s">
        <v>68</v>
      </c>
      <c r="R1" s="12"/>
      <c r="S1" s="12"/>
      <c r="T1" s="12"/>
      <c r="U1" s="12"/>
      <c r="V1" s="12"/>
      <c r="W1" s="12"/>
      <c r="X1" s="12"/>
      <c r="Y1" s="11"/>
      <c r="Z1" s="10"/>
    </row>
    <row r="2" spans="1:31" s="7" customFormat="1" ht="36" customHeight="1" thickBot="1" x14ac:dyDescent="0.45">
      <c r="A2" s="28"/>
      <c r="B2" s="29"/>
      <c r="C2" s="17"/>
      <c r="D2" s="17"/>
      <c r="E2" s="13"/>
      <c r="F2" s="17"/>
      <c r="G2" s="17"/>
      <c r="H2" s="17"/>
      <c r="I2" s="18"/>
      <c r="J2" s="17"/>
      <c r="K2" s="16"/>
      <c r="L2" s="16"/>
      <c r="M2" s="16"/>
      <c r="N2" s="15"/>
      <c r="O2" s="14"/>
      <c r="P2" s="12"/>
      <c r="Q2" s="13"/>
      <c r="R2" s="12"/>
      <c r="S2" s="12"/>
      <c r="T2" s="12"/>
      <c r="U2" s="12"/>
      <c r="V2" s="12"/>
      <c r="W2" s="12"/>
      <c r="X2" s="12"/>
      <c r="Y2" s="11"/>
      <c r="Z2" s="10"/>
    </row>
    <row r="3" spans="1:31" ht="20.25" customHeight="1" x14ac:dyDescent="0.35">
      <c r="A3" s="140" t="s">
        <v>73</v>
      </c>
      <c r="B3" s="141" t="s">
        <v>67</v>
      </c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 t="s">
        <v>66</v>
      </c>
      <c r="P3" s="142" t="s">
        <v>66</v>
      </c>
      <c r="Q3" s="142" t="s">
        <v>66</v>
      </c>
      <c r="R3" s="142" t="s">
        <v>66</v>
      </c>
      <c r="S3" s="142" t="s">
        <v>66</v>
      </c>
      <c r="T3" s="142" t="s">
        <v>66</v>
      </c>
      <c r="U3" s="142" t="s">
        <v>66</v>
      </c>
      <c r="V3" s="142" t="s">
        <v>66</v>
      </c>
      <c r="W3" s="142" t="s">
        <v>66</v>
      </c>
      <c r="X3" s="142" t="s">
        <v>66</v>
      </c>
      <c r="Y3" s="142" t="s">
        <v>66</v>
      </c>
      <c r="Z3" s="142" t="s">
        <v>66</v>
      </c>
    </row>
    <row r="4" spans="1:31" ht="25.5" customHeight="1" thickBot="1" x14ac:dyDescent="0.4">
      <c r="A4" s="143"/>
      <c r="B4" s="144">
        <v>2025</v>
      </c>
      <c r="C4" s="145" t="s">
        <v>65</v>
      </c>
      <c r="D4" s="145" t="s">
        <v>64</v>
      </c>
      <c r="E4" s="145" t="s">
        <v>63</v>
      </c>
      <c r="F4" s="145" t="s">
        <v>62</v>
      </c>
      <c r="G4" s="145" t="s">
        <v>61</v>
      </c>
      <c r="H4" s="145" t="s">
        <v>60</v>
      </c>
      <c r="I4" s="145" t="s">
        <v>59</v>
      </c>
      <c r="J4" s="145" t="s">
        <v>58</v>
      </c>
      <c r="K4" s="145" t="s">
        <v>57</v>
      </c>
      <c r="L4" s="145" t="s">
        <v>56</v>
      </c>
      <c r="M4" s="145" t="s">
        <v>55</v>
      </c>
      <c r="N4" s="145" t="s">
        <v>54</v>
      </c>
      <c r="O4" s="145" t="s">
        <v>65</v>
      </c>
      <c r="P4" s="146" t="s">
        <v>64</v>
      </c>
      <c r="Q4" s="145" t="s">
        <v>63</v>
      </c>
      <c r="R4" s="145" t="s">
        <v>62</v>
      </c>
      <c r="S4" s="145" t="s">
        <v>61</v>
      </c>
      <c r="T4" s="145" t="s">
        <v>60</v>
      </c>
      <c r="U4" s="145" t="s">
        <v>59</v>
      </c>
      <c r="V4" s="145" t="s">
        <v>58</v>
      </c>
      <c r="W4" s="145" t="s">
        <v>57</v>
      </c>
      <c r="X4" s="145" t="s">
        <v>56</v>
      </c>
      <c r="Y4" s="145" t="s">
        <v>55</v>
      </c>
      <c r="Z4" s="145" t="s">
        <v>54</v>
      </c>
    </row>
    <row r="5" spans="1:31" ht="24.95" customHeight="1" x14ac:dyDescent="0.35">
      <c r="A5" s="136" t="s">
        <v>4</v>
      </c>
      <c r="B5" s="134">
        <f>SUM(C5:N5)</f>
        <v>33075</v>
      </c>
      <c r="C5" s="26">
        <v>2750</v>
      </c>
      <c r="D5" s="26">
        <v>2743</v>
      </c>
      <c r="E5" s="26">
        <v>2710</v>
      </c>
      <c r="F5" s="26">
        <v>2786</v>
      </c>
      <c r="G5" s="26">
        <v>2752</v>
      </c>
      <c r="H5" s="26">
        <v>2759</v>
      </c>
      <c r="I5" s="26">
        <v>2800</v>
      </c>
      <c r="J5" s="26">
        <v>2740</v>
      </c>
      <c r="K5" s="26">
        <v>2722</v>
      </c>
      <c r="L5" s="26">
        <v>2793</v>
      </c>
      <c r="M5" s="26">
        <v>2741</v>
      </c>
      <c r="N5" s="26">
        <v>2779</v>
      </c>
      <c r="O5" s="133">
        <f>C5</f>
        <v>2750</v>
      </c>
      <c r="P5" s="134">
        <f>O5+D5</f>
        <v>5493</v>
      </c>
      <c r="Q5" s="134">
        <f>P5+E5</f>
        <v>8203</v>
      </c>
      <c r="R5" s="134">
        <f>Q5+F5</f>
        <v>10989</v>
      </c>
      <c r="S5" s="134">
        <f>R5+G5</f>
        <v>13741</v>
      </c>
      <c r="T5" s="134">
        <f>S5+H5</f>
        <v>16500</v>
      </c>
      <c r="U5" s="134">
        <f>T5+I5</f>
        <v>19300</v>
      </c>
      <c r="V5" s="134">
        <f>U5+J5</f>
        <v>22040</v>
      </c>
      <c r="W5" s="134">
        <f>V5+K5</f>
        <v>24762</v>
      </c>
      <c r="X5" s="134">
        <f>W5+L5</f>
        <v>27555</v>
      </c>
      <c r="Y5" s="134">
        <f>X5+M5</f>
        <v>30296</v>
      </c>
      <c r="Z5" s="135">
        <f>Y5+N5</f>
        <v>33075</v>
      </c>
      <c r="AA5" s="9"/>
      <c r="AB5" s="9"/>
      <c r="AC5" s="9"/>
      <c r="AD5" s="9"/>
    </row>
    <row r="6" spans="1:31" ht="24.95" customHeight="1" x14ac:dyDescent="0.35">
      <c r="A6" s="137" t="s">
        <v>6</v>
      </c>
      <c r="B6" s="134">
        <f t="shared" ref="B6:B12" si="0">SUM(C6:N6)</f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133">
        <f t="shared" ref="O6:P11" si="1">C6</f>
        <v>0</v>
      </c>
      <c r="P6" s="134">
        <f t="shared" ref="P6:P11" si="2">O6+D6</f>
        <v>0</v>
      </c>
      <c r="Q6" s="134">
        <f t="shared" ref="Q6:Q11" si="3">P6+E6</f>
        <v>0</v>
      </c>
      <c r="R6" s="134">
        <f t="shared" ref="R6:Z6" si="4">Q6+F6</f>
        <v>0</v>
      </c>
      <c r="S6" s="134">
        <f t="shared" si="4"/>
        <v>0</v>
      </c>
      <c r="T6" s="134">
        <f t="shared" si="4"/>
        <v>0</v>
      </c>
      <c r="U6" s="134">
        <f t="shared" si="4"/>
        <v>0</v>
      </c>
      <c r="V6" s="134">
        <f t="shared" si="4"/>
        <v>0</v>
      </c>
      <c r="W6" s="134">
        <f t="shared" si="4"/>
        <v>0</v>
      </c>
      <c r="X6" s="134">
        <f t="shared" si="4"/>
        <v>0</v>
      </c>
      <c r="Y6" s="134">
        <f t="shared" si="4"/>
        <v>0</v>
      </c>
      <c r="Z6" s="135">
        <f t="shared" si="4"/>
        <v>0</v>
      </c>
      <c r="AA6" s="9"/>
      <c r="AB6" s="9"/>
      <c r="AC6" s="9"/>
      <c r="AD6" s="9"/>
    </row>
    <row r="7" spans="1:31" ht="24.95" customHeight="1" x14ac:dyDescent="0.35">
      <c r="A7" s="136" t="s">
        <v>8</v>
      </c>
      <c r="B7" s="134">
        <f t="shared" si="0"/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  <c r="N7" s="26">
        <v>0</v>
      </c>
      <c r="O7" s="133">
        <f t="shared" si="1"/>
        <v>0</v>
      </c>
      <c r="P7" s="134">
        <f t="shared" si="2"/>
        <v>0</v>
      </c>
      <c r="Q7" s="134">
        <f t="shared" si="3"/>
        <v>0</v>
      </c>
      <c r="R7" s="134">
        <f t="shared" ref="R7:Z7" si="5">Q7+F7</f>
        <v>0</v>
      </c>
      <c r="S7" s="134">
        <f t="shared" si="5"/>
        <v>0</v>
      </c>
      <c r="T7" s="134">
        <f t="shared" si="5"/>
        <v>0</v>
      </c>
      <c r="U7" s="134">
        <f t="shared" si="5"/>
        <v>0</v>
      </c>
      <c r="V7" s="134">
        <f t="shared" si="5"/>
        <v>0</v>
      </c>
      <c r="W7" s="134">
        <f t="shared" si="5"/>
        <v>0</v>
      </c>
      <c r="X7" s="134">
        <f t="shared" si="5"/>
        <v>0</v>
      </c>
      <c r="Y7" s="134">
        <f t="shared" si="5"/>
        <v>0</v>
      </c>
      <c r="Z7" s="135">
        <f t="shared" si="5"/>
        <v>0</v>
      </c>
      <c r="AA7" s="9"/>
      <c r="AB7" s="9"/>
      <c r="AC7" s="9"/>
      <c r="AD7" s="9"/>
    </row>
    <row r="8" spans="1:31" ht="23.25" x14ac:dyDescent="0.35">
      <c r="A8" s="138" t="s">
        <v>45</v>
      </c>
      <c r="B8" s="134">
        <f t="shared" si="0"/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133">
        <f t="shared" si="1"/>
        <v>0</v>
      </c>
      <c r="P8" s="134">
        <f t="shared" si="2"/>
        <v>0</v>
      </c>
      <c r="Q8" s="134">
        <f t="shared" si="3"/>
        <v>0</v>
      </c>
      <c r="R8" s="134">
        <f t="shared" ref="R8:Z8" si="6">Q8+F8</f>
        <v>0</v>
      </c>
      <c r="S8" s="134">
        <f t="shared" si="6"/>
        <v>0</v>
      </c>
      <c r="T8" s="134">
        <f t="shared" si="6"/>
        <v>0</v>
      </c>
      <c r="U8" s="134">
        <f t="shared" si="6"/>
        <v>0</v>
      </c>
      <c r="V8" s="134">
        <f t="shared" si="6"/>
        <v>0</v>
      </c>
      <c r="W8" s="134">
        <f t="shared" si="6"/>
        <v>0</v>
      </c>
      <c r="X8" s="134">
        <f t="shared" si="6"/>
        <v>0</v>
      </c>
      <c r="Y8" s="134">
        <f t="shared" si="6"/>
        <v>0</v>
      </c>
      <c r="Z8" s="135">
        <f t="shared" si="6"/>
        <v>0</v>
      </c>
      <c r="AA8" s="9"/>
      <c r="AB8" s="9"/>
      <c r="AC8" s="9"/>
      <c r="AD8" s="9"/>
    </row>
    <row r="9" spans="1:31" ht="30" customHeight="1" x14ac:dyDescent="0.35">
      <c r="A9" s="138" t="s">
        <v>46</v>
      </c>
      <c r="B9" s="134">
        <f t="shared" si="0"/>
        <v>0</v>
      </c>
      <c r="C9" s="26">
        <v>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133">
        <f t="shared" si="1"/>
        <v>0</v>
      </c>
      <c r="P9" s="134">
        <f t="shared" si="2"/>
        <v>0</v>
      </c>
      <c r="Q9" s="134">
        <f t="shared" si="3"/>
        <v>0</v>
      </c>
      <c r="R9" s="134">
        <f t="shared" ref="R9:Z9" si="7">Q9+F9</f>
        <v>0</v>
      </c>
      <c r="S9" s="134">
        <f t="shared" si="7"/>
        <v>0</v>
      </c>
      <c r="T9" s="134">
        <f t="shared" si="7"/>
        <v>0</v>
      </c>
      <c r="U9" s="134">
        <f t="shared" si="7"/>
        <v>0</v>
      </c>
      <c r="V9" s="134">
        <f t="shared" si="7"/>
        <v>0</v>
      </c>
      <c r="W9" s="134">
        <f t="shared" si="7"/>
        <v>0</v>
      </c>
      <c r="X9" s="134">
        <f t="shared" si="7"/>
        <v>0</v>
      </c>
      <c r="Y9" s="134">
        <f t="shared" si="7"/>
        <v>0</v>
      </c>
      <c r="Z9" s="135">
        <f t="shared" si="7"/>
        <v>0</v>
      </c>
      <c r="AA9" s="9"/>
      <c r="AB9" s="9"/>
      <c r="AC9" s="9"/>
      <c r="AD9" s="9"/>
    </row>
    <row r="10" spans="1:31" ht="30" customHeight="1" x14ac:dyDescent="0.35">
      <c r="A10" s="137" t="s">
        <v>12</v>
      </c>
      <c r="B10" s="134">
        <f t="shared" si="0"/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133">
        <f t="shared" si="1"/>
        <v>0</v>
      </c>
      <c r="P10" s="134">
        <f t="shared" si="2"/>
        <v>0</v>
      </c>
      <c r="Q10" s="134">
        <f t="shared" si="3"/>
        <v>0</v>
      </c>
      <c r="R10" s="134">
        <f t="shared" ref="R10:Z10" si="8">Q10+F10</f>
        <v>0</v>
      </c>
      <c r="S10" s="134">
        <f t="shared" si="8"/>
        <v>0</v>
      </c>
      <c r="T10" s="134">
        <f t="shared" si="8"/>
        <v>0</v>
      </c>
      <c r="U10" s="134">
        <f t="shared" si="8"/>
        <v>0</v>
      </c>
      <c r="V10" s="134">
        <f t="shared" si="8"/>
        <v>0</v>
      </c>
      <c r="W10" s="134">
        <f t="shared" si="8"/>
        <v>0</v>
      </c>
      <c r="X10" s="134">
        <f t="shared" si="8"/>
        <v>0</v>
      </c>
      <c r="Y10" s="134">
        <f t="shared" si="8"/>
        <v>0</v>
      </c>
      <c r="Z10" s="135">
        <f t="shared" si="8"/>
        <v>0</v>
      </c>
      <c r="AA10" s="9"/>
      <c r="AB10" s="9"/>
      <c r="AC10" s="9"/>
      <c r="AD10" s="9"/>
    </row>
    <row r="11" spans="1:31" ht="26.25" customHeight="1" x14ac:dyDescent="0.35">
      <c r="A11" s="136" t="s">
        <v>14</v>
      </c>
      <c r="B11" s="134">
        <f t="shared" si="0"/>
        <v>476</v>
      </c>
      <c r="C11" s="26">
        <v>50</v>
      </c>
      <c r="D11" s="26">
        <v>46</v>
      </c>
      <c r="E11" s="26">
        <v>25</v>
      </c>
      <c r="F11" s="26">
        <v>10</v>
      </c>
      <c r="G11" s="26">
        <v>71</v>
      </c>
      <c r="H11" s="26">
        <v>21</v>
      </c>
      <c r="I11" s="26">
        <v>24</v>
      </c>
      <c r="J11" s="26">
        <v>9</v>
      </c>
      <c r="K11" s="26">
        <v>85</v>
      </c>
      <c r="L11" s="26">
        <v>84</v>
      </c>
      <c r="M11" s="26">
        <v>4</v>
      </c>
      <c r="N11" s="26">
        <v>47</v>
      </c>
      <c r="O11" s="133">
        <f t="shared" si="1"/>
        <v>50</v>
      </c>
      <c r="P11" s="134">
        <f t="shared" si="2"/>
        <v>96</v>
      </c>
      <c r="Q11" s="134">
        <f t="shared" si="3"/>
        <v>121</v>
      </c>
      <c r="R11" s="134">
        <f t="shared" ref="R11:Z11" si="9">Q11+F11</f>
        <v>131</v>
      </c>
      <c r="S11" s="134">
        <f t="shared" si="9"/>
        <v>202</v>
      </c>
      <c r="T11" s="134">
        <f t="shared" si="9"/>
        <v>223</v>
      </c>
      <c r="U11" s="134">
        <f t="shared" si="9"/>
        <v>247</v>
      </c>
      <c r="V11" s="134">
        <f t="shared" si="9"/>
        <v>256</v>
      </c>
      <c r="W11" s="134">
        <f t="shared" si="9"/>
        <v>341</v>
      </c>
      <c r="X11" s="134">
        <f t="shared" si="9"/>
        <v>425</v>
      </c>
      <c r="Y11" s="134">
        <f t="shared" si="9"/>
        <v>429</v>
      </c>
      <c r="Z11" s="135">
        <f t="shared" si="9"/>
        <v>476</v>
      </c>
      <c r="AA11" s="9"/>
      <c r="AB11" s="9"/>
      <c r="AC11" s="9"/>
      <c r="AD11" s="9"/>
    </row>
    <row r="12" spans="1:31" ht="26.25" customHeight="1" x14ac:dyDescent="0.35">
      <c r="A12" s="100" t="s">
        <v>71</v>
      </c>
      <c r="B12" s="134">
        <f t="shared" si="0"/>
        <v>33551</v>
      </c>
      <c r="C12" s="139">
        <f>SUM(C5:C11)</f>
        <v>2800</v>
      </c>
      <c r="D12" s="139">
        <f t="shared" ref="D12:Z12" si="10">SUM(D5:D11)</f>
        <v>2789</v>
      </c>
      <c r="E12" s="139">
        <f t="shared" si="10"/>
        <v>2735</v>
      </c>
      <c r="F12" s="139">
        <f t="shared" si="10"/>
        <v>2796</v>
      </c>
      <c r="G12" s="139">
        <f t="shared" si="10"/>
        <v>2823</v>
      </c>
      <c r="H12" s="139">
        <f t="shared" si="10"/>
        <v>2780</v>
      </c>
      <c r="I12" s="139">
        <f t="shared" si="10"/>
        <v>2824</v>
      </c>
      <c r="J12" s="139">
        <f t="shared" si="10"/>
        <v>2749</v>
      </c>
      <c r="K12" s="139">
        <f t="shared" si="10"/>
        <v>2807</v>
      </c>
      <c r="L12" s="139">
        <f t="shared" si="10"/>
        <v>2877</v>
      </c>
      <c r="M12" s="139">
        <f t="shared" si="10"/>
        <v>2745</v>
      </c>
      <c r="N12" s="139">
        <f t="shared" si="10"/>
        <v>2826</v>
      </c>
      <c r="O12" s="139">
        <f t="shared" si="10"/>
        <v>2800</v>
      </c>
      <c r="P12" s="139">
        <f t="shared" si="10"/>
        <v>5589</v>
      </c>
      <c r="Q12" s="139">
        <f t="shared" si="10"/>
        <v>8324</v>
      </c>
      <c r="R12" s="139">
        <f t="shared" si="10"/>
        <v>11120</v>
      </c>
      <c r="S12" s="139">
        <f t="shared" si="10"/>
        <v>13943</v>
      </c>
      <c r="T12" s="139">
        <f t="shared" si="10"/>
        <v>16723</v>
      </c>
      <c r="U12" s="139">
        <f t="shared" si="10"/>
        <v>19547</v>
      </c>
      <c r="V12" s="139">
        <f t="shared" si="10"/>
        <v>22296</v>
      </c>
      <c r="W12" s="139">
        <f t="shared" si="10"/>
        <v>25103</v>
      </c>
      <c r="X12" s="139">
        <f t="shared" si="10"/>
        <v>27980</v>
      </c>
      <c r="Y12" s="139">
        <f t="shared" si="10"/>
        <v>30725</v>
      </c>
      <c r="Z12" s="139">
        <f t="shared" si="10"/>
        <v>33551</v>
      </c>
      <c r="AA12" s="9"/>
      <c r="AB12" s="9"/>
      <c r="AC12" s="9"/>
      <c r="AD12" s="9"/>
      <c r="AE12" s="9"/>
    </row>
    <row r="13" spans="1:31" ht="24.75" customHeight="1" x14ac:dyDescent="0.35">
      <c r="A13" s="137" t="s">
        <v>15</v>
      </c>
      <c r="B13" s="101">
        <f>SUM(C13:N13)</f>
        <v>9000</v>
      </c>
      <c r="C13" s="27">
        <v>750</v>
      </c>
      <c r="D13" s="27">
        <v>750</v>
      </c>
      <c r="E13" s="27">
        <v>750</v>
      </c>
      <c r="F13" s="27">
        <v>750</v>
      </c>
      <c r="G13" s="27">
        <v>750</v>
      </c>
      <c r="H13" s="27">
        <v>750</v>
      </c>
      <c r="I13" s="27">
        <v>750</v>
      </c>
      <c r="J13" s="27">
        <v>750</v>
      </c>
      <c r="K13" s="27">
        <v>750</v>
      </c>
      <c r="L13" s="27">
        <v>750</v>
      </c>
      <c r="M13" s="27">
        <v>750</v>
      </c>
      <c r="N13" s="27">
        <v>750</v>
      </c>
      <c r="O13" s="133">
        <f>C13</f>
        <v>750</v>
      </c>
      <c r="P13" s="134">
        <f>O13+D13</f>
        <v>1500</v>
      </c>
      <c r="Q13" s="134">
        <f>P13+E13</f>
        <v>2250</v>
      </c>
      <c r="R13" s="134">
        <f>Q13+F13</f>
        <v>3000</v>
      </c>
      <c r="S13" s="134">
        <f>R13+G13</f>
        <v>3750</v>
      </c>
      <c r="T13" s="134">
        <f>S13+H13</f>
        <v>4500</v>
      </c>
      <c r="U13" s="134">
        <f>T13+I13</f>
        <v>5250</v>
      </c>
      <c r="V13" s="134">
        <f>U13+J13</f>
        <v>6000</v>
      </c>
      <c r="W13" s="134">
        <f>V13+K13</f>
        <v>6750</v>
      </c>
      <c r="X13" s="134">
        <f>W13+L13</f>
        <v>7500</v>
      </c>
      <c r="Y13" s="134">
        <f>X13+M13</f>
        <v>8250</v>
      </c>
      <c r="Z13" s="135">
        <f>Y13+N13</f>
        <v>9000</v>
      </c>
      <c r="AA13" s="9"/>
      <c r="AB13" s="9"/>
      <c r="AC13" s="9"/>
      <c r="AD13" s="9"/>
    </row>
    <row r="14" spans="1:31" ht="23.25" x14ac:dyDescent="0.35">
      <c r="A14" s="138" t="s">
        <v>47</v>
      </c>
      <c r="B14" s="134">
        <f>SUM(C14:N14)</f>
        <v>1500</v>
      </c>
      <c r="C14" s="27">
        <v>125</v>
      </c>
      <c r="D14" s="27">
        <v>125</v>
      </c>
      <c r="E14" s="27">
        <v>125</v>
      </c>
      <c r="F14" s="27">
        <v>125</v>
      </c>
      <c r="G14" s="27">
        <v>125</v>
      </c>
      <c r="H14" s="27">
        <v>125</v>
      </c>
      <c r="I14" s="27">
        <v>125</v>
      </c>
      <c r="J14" s="27">
        <v>125</v>
      </c>
      <c r="K14" s="27">
        <v>125</v>
      </c>
      <c r="L14" s="27">
        <v>125</v>
      </c>
      <c r="M14" s="27">
        <v>125</v>
      </c>
      <c r="N14" s="27">
        <v>125</v>
      </c>
      <c r="O14" s="133">
        <f>C14</f>
        <v>125</v>
      </c>
      <c r="P14" s="134">
        <f>O14+D14</f>
        <v>250</v>
      </c>
      <c r="Q14" s="134">
        <f>P14+E14</f>
        <v>375</v>
      </c>
      <c r="R14" s="134">
        <f>Q14+F14</f>
        <v>500</v>
      </c>
      <c r="S14" s="134">
        <f>R14+G14</f>
        <v>625</v>
      </c>
      <c r="T14" s="134">
        <f>S14+H14</f>
        <v>750</v>
      </c>
      <c r="U14" s="134">
        <f>T14+I14</f>
        <v>875</v>
      </c>
      <c r="V14" s="134">
        <f>U14+J14</f>
        <v>1000</v>
      </c>
      <c r="W14" s="134">
        <f>V14+K14</f>
        <v>1125</v>
      </c>
      <c r="X14" s="134">
        <f>W14+L14</f>
        <v>1250</v>
      </c>
      <c r="Y14" s="134">
        <f>X14+M14</f>
        <v>1375</v>
      </c>
      <c r="Z14" s="135">
        <f>Y14+N14</f>
        <v>1500</v>
      </c>
      <c r="AA14" s="9"/>
      <c r="AB14" s="9"/>
      <c r="AC14" s="9"/>
      <c r="AD14" s="9"/>
    </row>
    <row r="15" spans="1:31" ht="20.100000000000001" customHeight="1" x14ac:dyDescent="0.35">
      <c r="A15" s="138" t="s">
        <v>48</v>
      </c>
      <c r="B15" s="134">
        <f>SUM(C15:N15)</f>
        <v>720</v>
      </c>
      <c r="C15" s="27">
        <v>60</v>
      </c>
      <c r="D15" s="27">
        <v>60</v>
      </c>
      <c r="E15" s="27">
        <v>60</v>
      </c>
      <c r="F15" s="27">
        <v>60</v>
      </c>
      <c r="G15" s="27">
        <v>60</v>
      </c>
      <c r="H15" s="27">
        <v>60</v>
      </c>
      <c r="I15" s="27">
        <v>60</v>
      </c>
      <c r="J15" s="27">
        <v>60</v>
      </c>
      <c r="K15" s="27">
        <v>60</v>
      </c>
      <c r="L15" s="27">
        <v>60</v>
      </c>
      <c r="M15" s="27">
        <v>60</v>
      </c>
      <c r="N15" s="27">
        <v>60</v>
      </c>
      <c r="O15" s="133">
        <f t="shared" ref="O15:O18" si="11">C15</f>
        <v>60</v>
      </c>
      <c r="P15" s="134">
        <f t="shared" ref="P15:Z15" si="12">O15+D15</f>
        <v>120</v>
      </c>
      <c r="Q15" s="134">
        <f t="shared" si="12"/>
        <v>180</v>
      </c>
      <c r="R15" s="134">
        <f t="shared" si="12"/>
        <v>240</v>
      </c>
      <c r="S15" s="134">
        <f t="shared" si="12"/>
        <v>300</v>
      </c>
      <c r="T15" s="134">
        <f t="shared" si="12"/>
        <v>360</v>
      </c>
      <c r="U15" s="134">
        <f t="shared" si="12"/>
        <v>420</v>
      </c>
      <c r="V15" s="134">
        <f t="shared" si="12"/>
        <v>480</v>
      </c>
      <c r="W15" s="134">
        <f t="shared" si="12"/>
        <v>540</v>
      </c>
      <c r="X15" s="134">
        <f t="shared" si="12"/>
        <v>600</v>
      </c>
      <c r="Y15" s="134">
        <f t="shared" si="12"/>
        <v>660</v>
      </c>
      <c r="Z15" s="135">
        <f t="shared" si="12"/>
        <v>720</v>
      </c>
      <c r="AA15" s="9"/>
      <c r="AB15" s="9"/>
      <c r="AC15" s="9"/>
      <c r="AD15" s="9"/>
    </row>
    <row r="16" spans="1:31" ht="23.25" x14ac:dyDescent="0.35">
      <c r="A16" s="136" t="s">
        <v>19</v>
      </c>
      <c r="B16" s="134">
        <f>SUM(C16:N16)</f>
        <v>780</v>
      </c>
      <c r="C16" s="27">
        <v>65</v>
      </c>
      <c r="D16" s="27">
        <v>65</v>
      </c>
      <c r="E16" s="27">
        <v>65</v>
      </c>
      <c r="F16" s="27">
        <v>65</v>
      </c>
      <c r="G16" s="27">
        <v>65</v>
      </c>
      <c r="H16" s="27">
        <v>65</v>
      </c>
      <c r="I16" s="27">
        <v>65</v>
      </c>
      <c r="J16" s="27">
        <v>65</v>
      </c>
      <c r="K16" s="27">
        <v>65</v>
      </c>
      <c r="L16" s="27">
        <v>65</v>
      </c>
      <c r="M16" s="27">
        <v>65</v>
      </c>
      <c r="N16" s="27">
        <v>65</v>
      </c>
      <c r="O16" s="133">
        <f t="shared" si="11"/>
        <v>65</v>
      </c>
      <c r="P16" s="134">
        <f t="shared" ref="P16:Z16" si="13">O16+D16</f>
        <v>130</v>
      </c>
      <c r="Q16" s="134">
        <f t="shared" si="13"/>
        <v>195</v>
      </c>
      <c r="R16" s="134">
        <f t="shared" si="13"/>
        <v>260</v>
      </c>
      <c r="S16" s="134">
        <f t="shared" si="13"/>
        <v>325</v>
      </c>
      <c r="T16" s="134">
        <f t="shared" si="13"/>
        <v>390</v>
      </c>
      <c r="U16" s="134">
        <f t="shared" si="13"/>
        <v>455</v>
      </c>
      <c r="V16" s="134">
        <f t="shared" si="13"/>
        <v>520</v>
      </c>
      <c r="W16" s="134">
        <f t="shared" si="13"/>
        <v>585</v>
      </c>
      <c r="X16" s="134">
        <f t="shared" si="13"/>
        <v>650</v>
      </c>
      <c r="Y16" s="134">
        <f t="shared" si="13"/>
        <v>715</v>
      </c>
      <c r="Z16" s="135">
        <f t="shared" si="13"/>
        <v>780</v>
      </c>
      <c r="AA16" s="9"/>
      <c r="AB16" s="9"/>
      <c r="AC16" s="9"/>
      <c r="AD16" s="9"/>
    </row>
    <row r="17" spans="1:30" ht="23.25" x14ac:dyDescent="0.35">
      <c r="A17" s="137" t="s">
        <v>21</v>
      </c>
      <c r="B17" s="134">
        <f>SUM(C17:N17)</f>
        <v>600</v>
      </c>
      <c r="C17" s="27">
        <v>50</v>
      </c>
      <c r="D17" s="27">
        <v>50</v>
      </c>
      <c r="E17" s="27">
        <v>50</v>
      </c>
      <c r="F17" s="27">
        <v>50</v>
      </c>
      <c r="G17" s="27">
        <v>50</v>
      </c>
      <c r="H17" s="27">
        <v>50</v>
      </c>
      <c r="I17" s="27">
        <v>50</v>
      </c>
      <c r="J17" s="27">
        <v>50</v>
      </c>
      <c r="K17" s="27">
        <v>50</v>
      </c>
      <c r="L17" s="27">
        <v>50</v>
      </c>
      <c r="M17" s="27">
        <v>50</v>
      </c>
      <c r="N17" s="27">
        <v>50</v>
      </c>
      <c r="O17" s="133">
        <f t="shared" si="11"/>
        <v>50</v>
      </c>
      <c r="P17" s="134">
        <f t="shared" ref="P17:Z17" si="14">O17+D17</f>
        <v>100</v>
      </c>
      <c r="Q17" s="134">
        <f t="shared" si="14"/>
        <v>150</v>
      </c>
      <c r="R17" s="134">
        <f t="shared" si="14"/>
        <v>200</v>
      </c>
      <c r="S17" s="134">
        <f t="shared" si="14"/>
        <v>250</v>
      </c>
      <c r="T17" s="134">
        <f t="shared" si="14"/>
        <v>300</v>
      </c>
      <c r="U17" s="134">
        <f t="shared" si="14"/>
        <v>350</v>
      </c>
      <c r="V17" s="134">
        <f t="shared" si="14"/>
        <v>400</v>
      </c>
      <c r="W17" s="134">
        <f t="shared" si="14"/>
        <v>450</v>
      </c>
      <c r="X17" s="134">
        <f t="shared" si="14"/>
        <v>500</v>
      </c>
      <c r="Y17" s="134">
        <f t="shared" si="14"/>
        <v>550</v>
      </c>
      <c r="Z17" s="135">
        <f t="shared" si="14"/>
        <v>600</v>
      </c>
      <c r="AA17" s="9"/>
      <c r="AB17" s="9"/>
      <c r="AC17" s="9"/>
      <c r="AD17" s="9"/>
    </row>
    <row r="18" spans="1:30" ht="23.25" x14ac:dyDescent="0.35">
      <c r="A18" s="138" t="s">
        <v>49</v>
      </c>
      <c r="B18" s="134">
        <f>SUM(C18:N18)</f>
        <v>3000</v>
      </c>
      <c r="C18" s="27">
        <v>250</v>
      </c>
      <c r="D18" s="27">
        <v>250</v>
      </c>
      <c r="E18" s="27">
        <v>250</v>
      </c>
      <c r="F18" s="27">
        <v>250</v>
      </c>
      <c r="G18" s="27">
        <v>250</v>
      </c>
      <c r="H18" s="27">
        <v>250</v>
      </c>
      <c r="I18" s="27">
        <v>250</v>
      </c>
      <c r="J18" s="27">
        <v>250</v>
      </c>
      <c r="K18" s="27">
        <v>250</v>
      </c>
      <c r="L18" s="27">
        <v>250</v>
      </c>
      <c r="M18" s="27">
        <v>250</v>
      </c>
      <c r="N18" s="27">
        <v>250</v>
      </c>
      <c r="O18" s="133">
        <f t="shared" si="11"/>
        <v>250</v>
      </c>
      <c r="P18" s="134">
        <f t="shared" ref="P18:Z18" si="15">O18+D18</f>
        <v>500</v>
      </c>
      <c r="Q18" s="134">
        <f t="shared" si="15"/>
        <v>750</v>
      </c>
      <c r="R18" s="134">
        <f t="shared" si="15"/>
        <v>1000</v>
      </c>
      <c r="S18" s="134">
        <f t="shared" si="15"/>
        <v>1250</v>
      </c>
      <c r="T18" s="134">
        <f t="shared" si="15"/>
        <v>1500</v>
      </c>
      <c r="U18" s="134">
        <f t="shared" si="15"/>
        <v>1750</v>
      </c>
      <c r="V18" s="134">
        <f t="shared" si="15"/>
        <v>2000</v>
      </c>
      <c r="W18" s="134">
        <f t="shared" si="15"/>
        <v>2250</v>
      </c>
      <c r="X18" s="134">
        <f t="shared" si="15"/>
        <v>2500</v>
      </c>
      <c r="Y18" s="134">
        <f t="shared" si="15"/>
        <v>2750</v>
      </c>
      <c r="Z18" s="135">
        <f t="shared" si="15"/>
        <v>3000</v>
      </c>
      <c r="AA18" s="9"/>
      <c r="AB18" s="9"/>
      <c r="AC18" s="9"/>
      <c r="AD18" s="9"/>
    </row>
    <row r="19" spans="1:30" ht="30" customHeight="1" x14ac:dyDescent="0.35">
      <c r="A19" s="100" t="s">
        <v>72</v>
      </c>
      <c r="B19" s="101">
        <f>SUM(C19:N19)</f>
        <v>15600</v>
      </c>
      <c r="C19" s="101">
        <f>SUM(C13:C18)</f>
        <v>1300</v>
      </c>
      <c r="D19" s="101">
        <f t="shared" ref="D19:Z19" si="16">SUM(D13:D18)</f>
        <v>1300</v>
      </c>
      <c r="E19" s="101">
        <f t="shared" si="16"/>
        <v>1300</v>
      </c>
      <c r="F19" s="101">
        <f t="shared" si="16"/>
        <v>1300</v>
      </c>
      <c r="G19" s="101">
        <f t="shared" si="16"/>
        <v>1300</v>
      </c>
      <c r="H19" s="101">
        <f t="shared" si="16"/>
        <v>1300</v>
      </c>
      <c r="I19" s="101">
        <f t="shared" si="16"/>
        <v>1300</v>
      </c>
      <c r="J19" s="101">
        <f t="shared" si="16"/>
        <v>1300</v>
      </c>
      <c r="K19" s="101">
        <f t="shared" si="16"/>
        <v>1300</v>
      </c>
      <c r="L19" s="101">
        <f t="shared" si="16"/>
        <v>1300</v>
      </c>
      <c r="M19" s="101">
        <f t="shared" si="16"/>
        <v>1300</v>
      </c>
      <c r="N19" s="101">
        <f t="shared" si="16"/>
        <v>1300</v>
      </c>
      <c r="O19" s="101">
        <f t="shared" si="16"/>
        <v>1300</v>
      </c>
      <c r="P19" s="101">
        <f t="shared" si="16"/>
        <v>2600</v>
      </c>
      <c r="Q19" s="101">
        <f t="shared" si="16"/>
        <v>3900</v>
      </c>
      <c r="R19" s="101">
        <f t="shared" si="16"/>
        <v>5200</v>
      </c>
      <c r="S19" s="101">
        <f t="shared" si="16"/>
        <v>6500</v>
      </c>
      <c r="T19" s="101">
        <f t="shared" si="16"/>
        <v>7800</v>
      </c>
      <c r="U19" s="101">
        <f t="shared" si="16"/>
        <v>9100</v>
      </c>
      <c r="V19" s="101">
        <f t="shared" si="16"/>
        <v>10400</v>
      </c>
      <c r="W19" s="101">
        <f t="shared" si="16"/>
        <v>11700</v>
      </c>
      <c r="X19" s="101">
        <f t="shared" si="16"/>
        <v>13000</v>
      </c>
      <c r="Y19" s="101">
        <f t="shared" si="16"/>
        <v>14300</v>
      </c>
      <c r="Z19" s="101">
        <f t="shared" si="16"/>
        <v>15600</v>
      </c>
      <c r="AA19" s="9"/>
      <c r="AB19" s="9"/>
      <c r="AC19" s="9"/>
      <c r="AD19" s="9"/>
    </row>
    <row r="20" spans="1:30" ht="30" customHeight="1" x14ac:dyDescent="0.35">
      <c r="A20" s="136" t="s">
        <v>23</v>
      </c>
      <c r="B20" s="101">
        <f>SUM(C20:N20)</f>
        <v>1059</v>
      </c>
      <c r="C20" s="27">
        <v>100</v>
      </c>
      <c r="D20" s="27">
        <v>50</v>
      </c>
      <c r="E20" s="27">
        <v>138</v>
      </c>
      <c r="F20" s="27">
        <v>147</v>
      </c>
      <c r="G20" s="27">
        <v>91</v>
      </c>
      <c r="H20" s="27">
        <v>106</v>
      </c>
      <c r="I20" s="27">
        <v>63</v>
      </c>
      <c r="J20" s="27">
        <v>81</v>
      </c>
      <c r="K20" s="27">
        <v>105</v>
      </c>
      <c r="L20" s="27">
        <v>57</v>
      </c>
      <c r="M20" s="27">
        <v>64</v>
      </c>
      <c r="N20" s="27">
        <v>57</v>
      </c>
      <c r="O20" s="133">
        <f t="shared" ref="O20:O21" si="17">C20</f>
        <v>100</v>
      </c>
      <c r="P20" s="134">
        <f t="shared" ref="P20:Z20" si="18">O20+D20</f>
        <v>150</v>
      </c>
      <c r="Q20" s="134">
        <f t="shared" si="18"/>
        <v>288</v>
      </c>
      <c r="R20" s="134">
        <f t="shared" si="18"/>
        <v>435</v>
      </c>
      <c r="S20" s="134">
        <f t="shared" si="18"/>
        <v>526</v>
      </c>
      <c r="T20" s="134">
        <f t="shared" si="18"/>
        <v>632</v>
      </c>
      <c r="U20" s="134">
        <f t="shared" si="18"/>
        <v>695</v>
      </c>
      <c r="V20" s="134">
        <f t="shared" si="18"/>
        <v>776</v>
      </c>
      <c r="W20" s="134">
        <f t="shared" si="18"/>
        <v>881</v>
      </c>
      <c r="X20" s="134">
        <f t="shared" si="18"/>
        <v>938</v>
      </c>
      <c r="Y20" s="134">
        <f t="shared" si="18"/>
        <v>1002</v>
      </c>
      <c r="Z20" s="135">
        <f t="shared" si="18"/>
        <v>1059</v>
      </c>
      <c r="AA20" s="9"/>
      <c r="AB20" s="9"/>
      <c r="AC20" s="9"/>
      <c r="AD20" s="9"/>
    </row>
    <row r="21" spans="1:30" ht="30" customHeight="1" x14ac:dyDescent="0.35">
      <c r="A21" s="136" t="s">
        <v>25</v>
      </c>
      <c r="B21" s="101">
        <f>SUM(C21:N21)</f>
        <v>6718</v>
      </c>
      <c r="C21" s="27">
        <v>550</v>
      </c>
      <c r="D21" s="27">
        <v>546</v>
      </c>
      <c r="E21" s="27">
        <v>571</v>
      </c>
      <c r="F21" s="27">
        <v>558</v>
      </c>
      <c r="G21" s="27">
        <v>555</v>
      </c>
      <c r="H21" s="27">
        <v>600</v>
      </c>
      <c r="I21" s="27">
        <v>567</v>
      </c>
      <c r="J21" s="27">
        <v>567</v>
      </c>
      <c r="K21" s="27">
        <v>509</v>
      </c>
      <c r="L21" s="27">
        <v>594</v>
      </c>
      <c r="M21" s="27">
        <v>560</v>
      </c>
      <c r="N21" s="27">
        <v>541</v>
      </c>
      <c r="O21" s="133">
        <f t="shared" si="17"/>
        <v>550</v>
      </c>
      <c r="P21" s="134">
        <f t="shared" ref="P21:Z21" si="19">O21+D21</f>
        <v>1096</v>
      </c>
      <c r="Q21" s="134">
        <f t="shared" si="19"/>
        <v>1667</v>
      </c>
      <c r="R21" s="134">
        <f t="shared" si="19"/>
        <v>2225</v>
      </c>
      <c r="S21" s="134">
        <f t="shared" si="19"/>
        <v>2780</v>
      </c>
      <c r="T21" s="134">
        <f t="shared" si="19"/>
        <v>3380</v>
      </c>
      <c r="U21" s="134">
        <f t="shared" si="19"/>
        <v>3947</v>
      </c>
      <c r="V21" s="134">
        <f t="shared" si="19"/>
        <v>4514</v>
      </c>
      <c r="W21" s="134">
        <f t="shared" si="19"/>
        <v>5023</v>
      </c>
      <c r="X21" s="134">
        <f t="shared" si="19"/>
        <v>5617</v>
      </c>
      <c r="Y21" s="134">
        <f t="shared" si="19"/>
        <v>6177</v>
      </c>
      <c r="Z21" s="135">
        <f t="shared" si="19"/>
        <v>6718</v>
      </c>
      <c r="AA21" s="9"/>
      <c r="AB21" s="9"/>
      <c r="AC21" s="9"/>
      <c r="AD21" s="9"/>
    </row>
    <row r="22" spans="1:30" ht="24.95" customHeight="1" x14ac:dyDescent="0.35">
      <c r="A22" s="137" t="s">
        <v>28</v>
      </c>
      <c r="B22" s="134">
        <f>SUM(C22:N22)</f>
        <v>1819</v>
      </c>
      <c r="C22" s="27">
        <v>150</v>
      </c>
      <c r="D22" s="27">
        <v>127</v>
      </c>
      <c r="E22" s="27">
        <v>117</v>
      </c>
      <c r="F22" s="27">
        <v>198</v>
      </c>
      <c r="G22" s="27">
        <v>173</v>
      </c>
      <c r="H22" s="27">
        <v>129</v>
      </c>
      <c r="I22" s="27">
        <v>117</v>
      </c>
      <c r="J22" s="27">
        <v>162</v>
      </c>
      <c r="K22" s="27">
        <v>102</v>
      </c>
      <c r="L22" s="27">
        <v>200</v>
      </c>
      <c r="M22" s="27">
        <v>198</v>
      </c>
      <c r="N22" s="27">
        <v>146</v>
      </c>
      <c r="O22" s="133">
        <f>C22</f>
        <v>150</v>
      </c>
      <c r="P22" s="134">
        <f>O22+D22</f>
        <v>277</v>
      </c>
      <c r="Q22" s="134">
        <f>P22+E22</f>
        <v>394</v>
      </c>
      <c r="R22" s="134">
        <f>Q22+F22</f>
        <v>592</v>
      </c>
      <c r="S22" s="134">
        <f>R22+G22</f>
        <v>765</v>
      </c>
      <c r="T22" s="134">
        <f>S22+H22</f>
        <v>894</v>
      </c>
      <c r="U22" s="134">
        <f>T22+I22</f>
        <v>1011</v>
      </c>
      <c r="V22" s="134">
        <f>U22+J22</f>
        <v>1173</v>
      </c>
      <c r="W22" s="134">
        <f>V22+K22</f>
        <v>1275</v>
      </c>
      <c r="X22" s="134">
        <f>W22+L22</f>
        <v>1475</v>
      </c>
      <c r="Y22" s="134">
        <f>X22+M22</f>
        <v>1673</v>
      </c>
      <c r="Z22" s="135">
        <f>Y22+N22</f>
        <v>1819</v>
      </c>
      <c r="AA22" s="9"/>
      <c r="AB22" s="9"/>
      <c r="AC22" s="9"/>
      <c r="AD22" s="9"/>
    </row>
    <row r="23" spans="1:30" ht="24.95" customHeight="1" x14ac:dyDescent="0.35">
      <c r="A23" s="136" t="s">
        <v>30</v>
      </c>
      <c r="B23" s="134">
        <f>SUM(C23:N23)</f>
        <v>567</v>
      </c>
      <c r="C23" s="27">
        <v>50</v>
      </c>
      <c r="D23" s="27">
        <v>37</v>
      </c>
      <c r="E23" s="27">
        <v>11</v>
      </c>
      <c r="F23" s="27">
        <v>33</v>
      </c>
      <c r="G23" s="27">
        <v>27</v>
      </c>
      <c r="H23" s="27">
        <v>75</v>
      </c>
      <c r="I23" s="27">
        <v>64</v>
      </c>
      <c r="J23" s="27">
        <v>99</v>
      </c>
      <c r="K23" s="27">
        <v>33</v>
      </c>
      <c r="L23" s="27">
        <v>32</v>
      </c>
      <c r="M23" s="27">
        <v>69</v>
      </c>
      <c r="N23" s="27">
        <v>37</v>
      </c>
      <c r="O23" s="133">
        <f t="shared" ref="O23:O27" si="20">C23</f>
        <v>50</v>
      </c>
      <c r="P23" s="134">
        <f t="shared" ref="P23:P27" si="21">O23+D23</f>
        <v>87</v>
      </c>
      <c r="Q23" s="134">
        <f t="shared" ref="Q23:Q27" si="22">P23+E23</f>
        <v>98</v>
      </c>
      <c r="R23" s="134">
        <f t="shared" ref="R23:R27" si="23">Q23+F23</f>
        <v>131</v>
      </c>
      <c r="S23" s="134">
        <f t="shared" ref="S23:S27" si="24">R23+G23</f>
        <v>158</v>
      </c>
      <c r="T23" s="134">
        <f t="shared" ref="T23:T27" si="25">S23+H23</f>
        <v>233</v>
      </c>
      <c r="U23" s="134">
        <f t="shared" ref="U23:U27" si="26">T23+I23</f>
        <v>297</v>
      </c>
      <c r="V23" s="134">
        <f t="shared" ref="V23:V27" si="27">U23+J23</f>
        <v>396</v>
      </c>
      <c r="W23" s="134">
        <f t="shared" ref="W23:W27" si="28">V23+K23</f>
        <v>429</v>
      </c>
      <c r="X23" s="134">
        <f t="shared" ref="X23:X27" si="29">W23+L23</f>
        <v>461</v>
      </c>
      <c r="Y23" s="134">
        <f t="shared" ref="Y23:Y27" si="30">X23+M23</f>
        <v>530</v>
      </c>
      <c r="Z23" s="135">
        <f t="shared" ref="Z23:Z27" si="31">Y23+N23</f>
        <v>567</v>
      </c>
      <c r="AA23" s="9"/>
      <c r="AB23" s="9"/>
      <c r="AC23" s="9"/>
      <c r="AD23" s="9"/>
    </row>
    <row r="24" spans="1:30" ht="24.95" customHeight="1" x14ac:dyDescent="0.35">
      <c r="A24" s="138" t="s">
        <v>50</v>
      </c>
      <c r="B24" s="134">
        <f>SUM(C24:N24)</f>
        <v>368</v>
      </c>
      <c r="C24" s="27">
        <v>10</v>
      </c>
      <c r="D24" s="27">
        <v>57</v>
      </c>
      <c r="E24" s="27">
        <v>22</v>
      </c>
      <c r="F24" s="27">
        <v>57</v>
      </c>
      <c r="G24" s="27">
        <v>35</v>
      </c>
      <c r="H24" s="27">
        <v>52</v>
      </c>
      <c r="I24" s="27">
        <v>29</v>
      </c>
      <c r="J24" s="27">
        <v>2</v>
      </c>
      <c r="K24" s="27">
        <v>44</v>
      </c>
      <c r="L24" s="27">
        <v>14</v>
      </c>
      <c r="M24" s="27">
        <v>19</v>
      </c>
      <c r="N24" s="27">
        <v>27</v>
      </c>
      <c r="O24" s="133">
        <f t="shared" si="20"/>
        <v>10</v>
      </c>
      <c r="P24" s="134">
        <f t="shared" si="21"/>
        <v>67</v>
      </c>
      <c r="Q24" s="134">
        <f t="shared" si="22"/>
        <v>89</v>
      </c>
      <c r="R24" s="134">
        <f t="shared" si="23"/>
        <v>146</v>
      </c>
      <c r="S24" s="134">
        <f t="shared" si="24"/>
        <v>181</v>
      </c>
      <c r="T24" s="134">
        <f t="shared" si="25"/>
        <v>233</v>
      </c>
      <c r="U24" s="134">
        <f t="shared" si="26"/>
        <v>262</v>
      </c>
      <c r="V24" s="134">
        <f t="shared" si="27"/>
        <v>264</v>
      </c>
      <c r="W24" s="134">
        <f t="shared" si="28"/>
        <v>308</v>
      </c>
      <c r="X24" s="134">
        <f t="shared" si="29"/>
        <v>322</v>
      </c>
      <c r="Y24" s="134">
        <f t="shared" si="30"/>
        <v>341</v>
      </c>
      <c r="Z24" s="135">
        <f t="shared" si="31"/>
        <v>368</v>
      </c>
      <c r="AA24" s="9"/>
      <c r="AB24" s="9"/>
      <c r="AC24" s="9"/>
      <c r="AD24" s="9"/>
    </row>
    <row r="25" spans="1:30" ht="24.95" customHeight="1" x14ac:dyDescent="0.35">
      <c r="A25" s="138" t="s">
        <v>52</v>
      </c>
      <c r="B25" s="134">
        <f>SUM(C25:N25)</f>
        <v>1312</v>
      </c>
      <c r="C25" s="27">
        <v>100</v>
      </c>
      <c r="D25" s="27">
        <v>81</v>
      </c>
      <c r="E25" s="27">
        <v>139</v>
      </c>
      <c r="F25" s="27">
        <v>110</v>
      </c>
      <c r="G25" s="27">
        <v>135</v>
      </c>
      <c r="H25" s="27">
        <v>134</v>
      </c>
      <c r="I25" s="27">
        <v>99</v>
      </c>
      <c r="J25" s="27">
        <v>94</v>
      </c>
      <c r="K25" s="27">
        <v>145</v>
      </c>
      <c r="L25" s="27">
        <v>141</v>
      </c>
      <c r="M25" s="27">
        <v>83</v>
      </c>
      <c r="N25" s="27">
        <v>51</v>
      </c>
      <c r="O25" s="133">
        <f t="shared" si="20"/>
        <v>100</v>
      </c>
      <c r="P25" s="134">
        <f t="shared" si="21"/>
        <v>181</v>
      </c>
      <c r="Q25" s="134">
        <f t="shared" si="22"/>
        <v>320</v>
      </c>
      <c r="R25" s="134">
        <f t="shared" si="23"/>
        <v>430</v>
      </c>
      <c r="S25" s="134">
        <f t="shared" si="24"/>
        <v>565</v>
      </c>
      <c r="T25" s="134">
        <f t="shared" si="25"/>
        <v>699</v>
      </c>
      <c r="U25" s="134">
        <f t="shared" si="26"/>
        <v>798</v>
      </c>
      <c r="V25" s="134">
        <f t="shared" si="27"/>
        <v>892</v>
      </c>
      <c r="W25" s="134">
        <f t="shared" si="28"/>
        <v>1037</v>
      </c>
      <c r="X25" s="134">
        <f t="shared" si="29"/>
        <v>1178</v>
      </c>
      <c r="Y25" s="134">
        <f t="shared" si="30"/>
        <v>1261</v>
      </c>
      <c r="Z25" s="135">
        <f t="shared" si="31"/>
        <v>1312</v>
      </c>
      <c r="AA25" s="9"/>
      <c r="AB25" s="9"/>
      <c r="AC25" s="9"/>
      <c r="AD25" s="9"/>
    </row>
    <row r="26" spans="1:30" ht="24.95" customHeight="1" x14ac:dyDescent="0.35">
      <c r="A26" s="136" t="s">
        <v>33</v>
      </c>
      <c r="B26" s="134">
        <f>SUM(C26:N26)</f>
        <v>445</v>
      </c>
      <c r="C26" s="27">
        <v>50</v>
      </c>
      <c r="D26" s="27">
        <v>32</v>
      </c>
      <c r="E26" s="27">
        <v>0</v>
      </c>
      <c r="F26" s="27">
        <v>18</v>
      </c>
      <c r="G26" s="27">
        <v>91</v>
      </c>
      <c r="H26" s="27">
        <v>57</v>
      </c>
      <c r="I26" s="27">
        <v>39</v>
      </c>
      <c r="J26" s="27">
        <v>7</v>
      </c>
      <c r="K26" s="27">
        <v>27</v>
      </c>
      <c r="L26" s="27">
        <v>42</v>
      </c>
      <c r="M26" s="27">
        <v>54</v>
      </c>
      <c r="N26" s="27">
        <v>28</v>
      </c>
      <c r="O26" s="133">
        <f t="shared" si="20"/>
        <v>50</v>
      </c>
      <c r="P26" s="134">
        <f t="shared" si="21"/>
        <v>82</v>
      </c>
      <c r="Q26" s="134">
        <f t="shared" si="22"/>
        <v>82</v>
      </c>
      <c r="R26" s="134">
        <f t="shared" si="23"/>
        <v>100</v>
      </c>
      <c r="S26" s="134">
        <f t="shared" si="24"/>
        <v>191</v>
      </c>
      <c r="T26" s="134">
        <f t="shared" si="25"/>
        <v>248</v>
      </c>
      <c r="U26" s="134">
        <f t="shared" si="26"/>
        <v>287</v>
      </c>
      <c r="V26" s="134">
        <f t="shared" si="27"/>
        <v>294</v>
      </c>
      <c r="W26" s="134">
        <f t="shared" si="28"/>
        <v>321</v>
      </c>
      <c r="X26" s="134">
        <f t="shared" si="29"/>
        <v>363</v>
      </c>
      <c r="Y26" s="134">
        <f t="shared" si="30"/>
        <v>417</v>
      </c>
      <c r="Z26" s="135">
        <f t="shared" si="31"/>
        <v>445</v>
      </c>
      <c r="AA26" s="9"/>
      <c r="AB26" s="9"/>
      <c r="AC26" s="9"/>
      <c r="AD26" s="9"/>
    </row>
    <row r="27" spans="1:30" ht="30" customHeight="1" x14ac:dyDescent="0.35">
      <c r="A27" s="136" t="s">
        <v>34</v>
      </c>
      <c r="B27" s="101">
        <f>SUM(C27:N27)</f>
        <v>606</v>
      </c>
      <c r="C27" s="27">
        <v>50</v>
      </c>
      <c r="D27" s="27">
        <v>73</v>
      </c>
      <c r="E27" s="27">
        <v>61</v>
      </c>
      <c r="F27" s="27">
        <v>63</v>
      </c>
      <c r="G27" s="27">
        <v>19</v>
      </c>
      <c r="H27" s="27">
        <v>58</v>
      </c>
      <c r="I27" s="27">
        <v>17</v>
      </c>
      <c r="J27" s="27">
        <v>70</v>
      </c>
      <c r="K27" s="27">
        <v>91</v>
      </c>
      <c r="L27" s="27">
        <v>16</v>
      </c>
      <c r="M27" s="27">
        <v>16</v>
      </c>
      <c r="N27" s="27">
        <v>72</v>
      </c>
      <c r="O27" s="133">
        <f t="shared" si="20"/>
        <v>50</v>
      </c>
      <c r="P27" s="134">
        <f t="shared" si="21"/>
        <v>123</v>
      </c>
      <c r="Q27" s="134">
        <f t="shared" si="22"/>
        <v>184</v>
      </c>
      <c r="R27" s="134">
        <f t="shared" si="23"/>
        <v>247</v>
      </c>
      <c r="S27" s="134">
        <f t="shared" si="24"/>
        <v>266</v>
      </c>
      <c r="T27" s="134">
        <f t="shared" si="25"/>
        <v>324</v>
      </c>
      <c r="U27" s="134">
        <f t="shared" si="26"/>
        <v>341</v>
      </c>
      <c r="V27" s="134">
        <f t="shared" si="27"/>
        <v>411</v>
      </c>
      <c r="W27" s="134">
        <f t="shared" si="28"/>
        <v>502</v>
      </c>
      <c r="X27" s="134">
        <f t="shared" si="29"/>
        <v>518</v>
      </c>
      <c r="Y27" s="134">
        <f t="shared" si="30"/>
        <v>534</v>
      </c>
      <c r="Z27" s="135">
        <f t="shared" si="31"/>
        <v>606</v>
      </c>
      <c r="AA27" s="9"/>
      <c r="AB27" s="9"/>
      <c r="AC27" s="9"/>
      <c r="AD27" s="9"/>
    </row>
    <row r="28" spans="1:30" ht="30" customHeight="1" x14ac:dyDescent="0.35">
      <c r="A28" s="100" t="s">
        <v>74</v>
      </c>
      <c r="B28" s="101">
        <f>SUM(C28:N28)</f>
        <v>12894</v>
      </c>
      <c r="C28" s="101">
        <f>SUM(C20:C27)</f>
        <v>1060</v>
      </c>
      <c r="D28" s="101">
        <f t="shared" ref="D28:Z28" si="32">SUM(D20:D27)</f>
        <v>1003</v>
      </c>
      <c r="E28" s="101">
        <f t="shared" si="32"/>
        <v>1059</v>
      </c>
      <c r="F28" s="101">
        <f t="shared" si="32"/>
        <v>1184</v>
      </c>
      <c r="G28" s="101">
        <f t="shared" si="32"/>
        <v>1126</v>
      </c>
      <c r="H28" s="101">
        <f t="shared" si="32"/>
        <v>1211</v>
      </c>
      <c r="I28" s="101">
        <f t="shared" si="32"/>
        <v>995</v>
      </c>
      <c r="J28" s="101">
        <f t="shared" si="32"/>
        <v>1082</v>
      </c>
      <c r="K28" s="101">
        <f t="shared" si="32"/>
        <v>1056</v>
      </c>
      <c r="L28" s="101">
        <f t="shared" si="32"/>
        <v>1096</v>
      </c>
      <c r="M28" s="101">
        <f t="shared" si="32"/>
        <v>1063</v>
      </c>
      <c r="N28" s="101">
        <f t="shared" si="32"/>
        <v>959</v>
      </c>
      <c r="O28" s="101">
        <f t="shared" si="32"/>
        <v>1060</v>
      </c>
      <c r="P28" s="101">
        <f t="shared" si="32"/>
        <v>2063</v>
      </c>
      <c r="Q28" s="101">
        <f t="shared" si="32"/>
        <v>3122</v>
      </c>
      <c r="R28" s="101">
        <f t="shared" si="32"/>
        <v>4306</v>
      </c>
      <c r="S28" s="101">
        <f t="shared" si="32"/>
        <v>5432</v>
      </c>
      <c r="T28" s="101">
        <f t="shared" si="32"/>
        <v>6643</v>
      </c>
      <c r="U28" s="101">
        <f t="shared" si="32"/>
        <v>7638</v>
      </c>
      <c r="V28" s="101">
        <f t="shared" si="32"/>
        <v>8720</v>
      </c>
      <c r="W28" s="101">
        <f t="shared" si="32"/>
        <v>9776</v>
      </c>
      <c r="X28" s="101">
        <f t="shared" si="32"/>
        <v>10872</v>
      </c>
      <c r="Y28" s="101">
        <f t="shared" si="32"/>
        <v>11935</v>
      </c>
      <c r="Z28" s="101">
        <f t="shared" si="32"/>
        <v>12894</v>
      </c>
      <c r="AA28" s="9"/>
      <c r="AB28" s="9"/>
      <c r="AC28" s="9"/>
      <c r="AD28" s="9"/>
    </row>
    <row r="29" spans="1:30" ht="30" customHeight="1" x14ac:dyDescent="0.35">
      <c r="A29" s="102"/>
      <c r="B29" s="101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4"/>
      <c r="O29" s="105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6"/>
      <c r="AA29" s="9"/>
      <c r="AB29" s="9"/>
      <c r="AC29" s="9"/>
      <c r="AD29" s="9"/>
    </row>
    <row r="30" spans="1:30" ht="30" customHeight="1" x14ac:dyDescent="0.35">
      <c r="A30" s="107" t="s">
        <v>76</v>
      </c>
      <c r="B30" s="101">
        <f>SUM(C30:N30)</f>
        <v>5057</v>
      </c>
      <c r="C30" s="101">
        <f>C12-C19-C28</f>
        <v>440</v>
      </c>
      <c r="D30" s="101">
        <f>D12-D19-D28</f>
        <v>486</v>
      </c>
      <c r="E30" s="101">
        <f>E12-E19-E28</f>
        <v>376</v>
      </c>
      <c r="F30" s="101">
        <f>F12-F19-F28</f>
        <v>312</v>
      </c>
      <c r="G30" s="101">
        <f>G12-G19-G28</f>
        <v>397</v>
      </c>
      <c r="H30" s="101">
        <f>H12-H19-H28</f>
        <v>269</v>
      </c>
      <c r="I30" s="101">
        <f>I12-I19-I28</f>
        <v>529</v>
      </c>
      <c r="J30" s="101">
        <f>J12-J19-J28</f>
        <v>367</v>
      </c>
      <c r="K30" s="101">
        <f>K12-K19-K28</f>
        <v>451</v>
      </c>
      <c r="L30" s="101">
        <f>L12-L19-L28</f>
        <v>481</v>
      </c>
      <c r="M30" s="101">
        <f>M12-M19-M28</f>
        <v>382</v>
      </c>
      <c r="N30" s="101">
        <f>N12-N19-N28</f>
        <v>567</v>
      </c>
      <c r="O30" s="101">
        <f>O12-O19-O28</f>
        <v>440</v>
      </c>
      <c r="P30" s="101">
        <f>P12-P19-P28</f>
        <v>926</v>
      </c>
      <c r="Q30" s="101">
        <f>Q12-Q19-Q28</f>
        <v>1302</v>
      </c>
      <c r="R30" s="101">
        <f>R12-R19-R28</f>
        <v>1614</v>
      </c>
      <c r="S30" s="101">
        <f>S12-S19-S28</f>
        <v>2011</v>
      </c>
      <c r="T30" s="101">
        <f>T12-T19-T28</f>
        <v>2280</v>
      </c>
      <c r="U30" s="101">
        <f>U12-U19-U28</f>
        <v>2809</v>
      </c>
      <c r="V30" s="101">
        <f>V12-V19-V28</f>
        <v>3176</v>
      </c>
      <c r="W30" s="101">
        <f>W12-W19-W28</f>
        <v>3627</v>
      </c>
      <c r="X30" s="101">
        <f>X12-X19-X28</f>
        <v>4108</v>
      </c>
      <c r="Y30" s="101">
        <f>Y12-Y19-Y28</f>
        <v>4490</v>
      </c>
      <c r="Z30" s="101">
        <f>Z12-Z19-Z28</f>
        <v>5057</v>
      </c>
      <c r="AA30" s="9"/>
      <c r="AB30" s="9"/>
      <c r="AC30" s="9"/>
      <c r="AD30" s="9"/>
    </row>
    <row r="31" spans="1:30" ht="20.100000000000001" customHeight="1" x14ac:dyDescent="0.35">
      <c r="A31" s="108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11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10"/>
      <c r="AA31" s="9"/>
      <c r="AB31" s="9"/>
      <c r="AC31" s="9"/>
      <c r="AD31" s="9"/>
    </row>
    <row r="32" spans="1:30" ht="20.100000000000001" customHeight="1" x14ac:dyDescent="0.35">
      <c r="A32" s="112" t="s">
        <v>69</v>
      </c>
      <c r="B32" s="113"/>
      <c r="C32" s="113"/>
      <c r="D32" s="113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5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</row>
    <row r="33" spans="1:26" ht="20.100000000000001" customHeight="1" x14ac:dyDescent="0.35">
      <c r="A33" s="116" t="s">
        <v>77</v>
      </c>
      <c r="B33" s="117">
        <f>IFERROR(B30/B12,0)</f>
        <v>0.15072576078209293</v>
      </c>
      <c r="C33" s="117">
        <f>IFERROR(C30/C12,0)</f>
        <v>0.15714285714285714</v>
      </c>
      <c r="D33" s="117">
        <f>IFERROR(D30/D12,0)</f>
        <v>0.17425600573682323</v>
      </c>
      <c r="E33" s="117">
        <f>IFERROR(E30/E12,0)</f>
        <v>0.13747714808043876</v>
      </c>
      <c r="F33" s="117">
        <f>IFERROR(F30/F12,0)</f>
        <v>0.11158798283261803</v>
      </c>
      <c r="G33" s="117">
        <f>IFERROR(G30/G12,0)</f>
        <v>0.1406305348919589</v>
      </c>
      <c r="H33" s="117">
        <f>IFERROR(H30/H12,0)</f>
        <v>9.6762589928057557E-2</v>
      </c>
      <c r="I33" s="117">
        <f>IFERROR(I30/I12,0)</f>
        <v>0.18732294617563738</v>
      </c>
      <c r="J33" s="117">
        <f>IFERROR(J30/J12,0)</f>
        <v>0.13350309203346672</v>
      </c>
      <c r="K33" s="117">
        <f>IFERROR(K30/K12,0)</f>
        <v>0.16066975418596366</v>
      </c>
      <c r="L33" s="117">
        <f>IFERROR(L30/L12,0)</f>
        <v>0.16718804310045185</v>
      </c>
      <c r="M33" s="117">
        <f>IFERROR(M30/M12,0)</f>
        <v>0.13916211293260475</v>
      </c>
      <c r="N33" s="117">
        <f>IFERROR(N30/N12,0)</f>
        <v>0.20063694267515925</v>
      </c>
      <c r="O33" s="117">
        <f>IFERROR(O30/O12,0)</f>
        <v>0.15714285714285714</v>
      </c>
      <c r="P33" s="117">
        <f>IFERROR(P30/P12,0)</f>
        <v>0.16568259080336376</v>
      </c>
      <c r="Q33" s="117">
        <f>IFERROR(Q30/Q12,0)</f>
        <v>0.15641518500720808</v>
      </c>
      <c r="R33" s="117">
        <f>IFERROR(R30/R12,0)</f>
        <v>0.14514388489208632</v>
      </c>
      <c r="S33" s="117">
        <f>IFERROR(S30/S12,0)</f>
        <v>0.14423007960984005</v>
      </c>
      <c r="T33" s="117">
        <f>IFERROR(T30/T12,0)</f>
        <v>0.13633917359325479</v>
      </c>
      <c r="U33" s="117">
        <f>IFERROR(U30/U12,0)</f>
        <v>0.14370491635545096</v>
      </c>
      <c r="V33" s="117">
        <f>IFERROR(V30/V12,0)</f>
        <v>0.14244707570864729</v>
      </c>
      <c r="W33" s="117">
        <f>IFERROR(W30/W12,0)</f>
        <v>0.1444847229414811</v>
      </c>
      <c r="X33" s="117">
        <f>IFERROR(X30/X12,0)</f>
        <v>0.14681915654038599</v>
      </c>
      <c r="Y33" s="117">
        <f>IFERROR(Y30/Y12,0)</f>
        <v>0.14613506916192026</v>
      </c>
      <c r="Z33" s="117">
        <f>IFERROR(Z30/Z12,0)</f>
        <v>0.15072576078209293</v>
      </c>
    </row>
    <row r="34" spans="1:26" ht="20.100000000000001" customHeight="1" x14ac:dyDescent="0.35">
      <c r="A34" s="116" t="s">
        <v>78</v>
      </c>
      <c r="B34" s="117">
        <f>IFERROR(B19/B12,0)</f>
        <v>0.46496378647432268</v>
      </c>
      <c r="C34" s="117">
        <f>IFERROR(C19/C12,0)</f>
        <v>0.4642857142857143</v>
      </c>
      <c r="D34" s="117">
        <f>IFERROR(D19/D12,0)</f>
        <v>0.46611688777339549</v>
      </c>
      <c r="E34" s="117">
        <f>IFERROR(E19/E12,0)</f>
        <v>0.47531992687385738</v>
      </c>
      <c r="F34" s="117">
        <f>IFERROR(F19/F12,0)</f>
        <v>0.46494992846924177</v>
      </c>
      <c r="G34" s="117">
        <f>IFERROR(G19/G12,0)</f>
        <v>0.46050301098122565</v>
      </c>
      <c r="H34" s="117">
        <f>IFERROR(H19/H12,0)</f>
        <v>0.46762589928057552</v>
      </c>
      <c r="I34" s="117">
        <f>IFERROR(I19/I12,0)</f>
        <v>0.46033994334277623</v>
      </c>
      <c r="J34" s="117">
        <f>IFERROR(J19/J12,0)</f>
        <v>0.47289923608584938</v>
      </c>
      <c r="K34" s="117">
        <f>IFERROR(K19/K12,0)</f>
        <v>0.46312789454934095</v>
      </c>
      <c r="L34" s="117">
        <f>IFERROR(L19/L12,0)</f>
        <v>0.45185957594716719</v>
      </c>
      <c r="M34" s="117">
        <f>IFERROR(M19/M12,0)</f>
        <v>0.47358834244080145</v>
      </c>
      <c r="N34" s="117">
        <f>IFERROR(N19/N12,0)</f>
        <v>0.4600141542816702</v>
      </c>
      <c r="O34" s="117">
        <f>IFERROR(O19/O12,0)</f>
        <v>0.4642857142857143</v>
      </c>
      <c r="P34" s="117">
        <f>IFERROR(P19/P12,0)</f>
        <v>0.46519949901592411</v>
      </c>
      <c r="Q34" s="117">
        <f>IFERROR(Q19/Q12,0)</f>
        <v>0.46852474771744351</v>
      </c>
      <c r="R34" s="117">
        <f>IFERROR(R19/R12,0)</f>
        <v>0.46762589928057552</v>
      </c>
      <c r="S34" s="117">
        <f>IFERROR(S19/S12,0)</f>
        <v>0.46618374811733487</v>
      </c>
      <c r="T34" s="117">
        <f>IFERROR(T19/T12,0)</f>
        <v>0.46642348860850324</v>
      </c>
      <c r="U34" s="117">
        <f>IFERROR(U19/U12,0)</f>
        <v>0.46554458484677957</v>
      </c>
      <c r="V34" s="117">
        <f>IFERROR(V19/V12,0)</f>
        <v>0.46645138141370651</v>
      </c>
      <c r="W34" s="117">
        <f>IFERROR(W19/W12,0)</f>
        <v>0.46607975142413255</v>
      </c>
      <c r="X34" s="117">
        <f>IFERROR(X19/X12,0)</f>
        <v>0.46461758398856323</v>
      </c>
      <c r="Y34" s="117">
        <f>IFERROR(Y19/Y12,0)</f>
        <v>0.46541903986981287</v>
      </c>
      <c r="Z34" s="117">
        <f>IFERROR(Z19/Z12,0)</f>
        <v>0.46496378647432268</v>
      </c>
    </row>
    <row r="35" spans="1:26" ht="20.100000000000001" customHeight="1" x14ac:dyDescent="0.35">
      <c r="A35" s="116" t="s">
        <v>79</v>
      </c>
      <c r="B35" s="117">
        <f>IFERROR(B28/B12,0)</f>
        <v>0.38431045274358439</v>
      </c>
      <c r="C35" s="117">
        <f>IFERROR(C28/C12,0)</f>
        <v>0.37857142857142856</v>
      </c>
      <c r="D35" s="117">
        <f>IFERROR(D28/D12,0)</f>
        <v>0.3596271064897813</v>
      </c>
      <c r="E35" s="117">
        <f>IFERROR(E28/E12,0)</f>
        <v>0.38720292504570386</v>
      </c>
      <c r="F35" s="117">
        <f>IFERROR(F28/F12,0)</f>
        <v>0.42346208869814023</v>
      </c>
      <c r="G35" s="117">
        <f>IFERROR(G28/G12,0)</f>
        <v>0.39886645412681543</v>
      </c>
      <c r="H35" s="117">
        <f>IFERROR(H28/H12,0)</f>
        <v>0.4356115107913669</v>
      </c>
      <c r="I35" s="117">
        <f>IFERROR(I28/I12,0)</f>
        <v>0.35233711048158639</v>
      </c>
      <c r="J35" s="117">
        <f>IFERROR(J28/J12,0)</f>
        <v>0.3935976718806839</v>
      </c>
      <c r="K35" s="117">
        <f>IFERROR(K28/K12,0)</f>
        <v>0.37620235126469542</v>
      </c>
      <c r="L35" s="117">
        <f>IFERROR(L28/L12,0)</f>
        <v>0.38095238095238093</v>
      </c>
      <c r="M35" s="117">
        <f>IFERROR(M28/M12,0)</f>
        <v>0.38724954462659383</v>
      </c>
      <c r="N35" s="117">
        <f>IFERROR(N28/N12,0)</f>
        <v>0.33934890304317056</v>
      </c>
      <c r="O35" s="117">
        <f>IFERROR(O28/O12,0)</f>
        <v>0.37857142857142856</v>
      </c>
      <c r="P35" s="117">
        <f>IFERROR(P28/P12,0)</f>
        <v>0.36911791018071211</v>
      </c>
      <c r="Q35" s="117">
        <f>IFERROR(Q28/Q12,0)</f>
        <v>0.37506006727534841</v>
      </c>
      <c r="R35" s="117">
        <f>IFERROR(R28/R12,0)</f>
        <v>0.38723021582733813</v>
      </c>
      <c r="S35" s="117">
        <f>IFERROR(S28/S12,0)</f>
        <v>0.38958617227282505</v>
      </c>
      <c r="T35" s="117">
        <f>IFERROR(T28/T12,0)</f>
        <v>0.39723733779824194</v>
      </c>
      <c r="U35" s="117">
        <f>IFERROR(U28/U12,0)</f>
        <v>0.39075049879776946</v>
      </c>
      <c r="V35" s="117">
        <f>IFERROR(V28/V12,0)</f>
        <v>0.3911015428776462</v>
      </c>
      <c r="W35" s="117">
        <f>IFERROR(W28/W12,0)</f>
        <v>0.38943552563438633</v>
      </c>
      <c r="X35" s="117">
        <f>IFERROR(X28/X12,0)</f>
        <v>0.38856325947105075</v>
      </c>
      <c r="Y35" s="117">
        <f>IFERROR(Y28/Y12,0)</f>
        <v>0.38844589096826687</v>
      </c>
      <c r="Z35" s="117">
        <f>IFERROR(Z28/Z12,0)</f>
        <v>0.38431045274358439</v>
      </c>
    </row>
    <row r="36" spans="1:26" ht="20.100000000000001" customHeight="1" x14ac:dyDescent="0.35">
      <c r="A36" s="116" t="s">
        <v>80</v>
      </c>
      <c r="B36" s="117">
        <f>IFERROR(B13/B12,0)</f>
        <v>0.26824833835057077</v>
      </c>
      <c r="C36" s="117">
        <f>IFERROR(C13/C12,0)</f>
        <v>0.26785714285714285</v>
      </c>
      <c r="D36" s="117">
        <f>IFERROR(D13/D12,0)</f>
        <v>0.26891358910003588</v>
      </c>
      <c r="E36" s="117">
        <f>IFERROR(E13/E12,0)</f>
        <v>0.27422303473491771</v>
      </c>
      <c r="F36" s="117">
        <f>IFERROR(F13/F12,0)</f>
        <v>0.26824034334763946</v>
      </c>
      <c r="G36" s="117">
        <f>IFERROR(G13/G12,0)</f>
        <v>0.26567481402763016</v>
      </c>
      <c r="H36" s="117">
        <f>IFERROR(H13/H12,0)</f>
        <v>0.26978417266187049</v>
      </c>
      <c r="I36" s="117">
        <f>IFERROR(I13/I12,0)</f>
        <v>0.26558073654390935</v>
      </c>
      <c r="J36" s="117">
        <f>IFERROR(J13/J12,0)</f>
        <v>0.27282648235722079</v>
      </c>
      <c r="K36" s="117">
        <f>IFERROR(K13/K12,0)</f>
        <v>0.26718916993231207</v>
      </c>
      <c r="L36" s="117">
        <f>IFERROR(L13/L12,0)</f>
        <v>0.26068821689259647</v>
      </c>
      <c r="M36" s="117">
        <f>IFERROR(M13/M12,0)</f>
        <v>0.27322404371584702</v>
      </c>
      <c r="N36" s="117">
        <f>IFERROR(N13/N12,0)</f>
        <v>0.26539278131634819</v>
      </c>
      <c r="O36" s="117">
        <f>IFERROR(O13/O12,0)</f>
        <v>0.26785714285714285</v>
      </c>
      <c r="P36" s="117">
        <f>IFERROR(P13/P12,0)</f>
        <v>0.26838432635534087</v>
      </c>
      <c r="Q36" s="117">
        <f>IFERROR(Q13/Q12,0)</f>
        <v>0.27030273906775587</v>
      </c>
      <c r="R36" s="117">
        <f>IFERROR(R13/R12,0)</f>
        <v>0.26978417266187049</v>
      </c>
      <c r="S36" s="117">
        <f>IFERROR(S13/S12,0)</f>
        <v>0.2689521623753855</v>
      </c>
      <c r="T36" s="117">
        <f>IFERROR(T13/T12,0)</f>
        <v>0.26909047419721344</v>
      </c>
      <c r="U36" s="117">
        <f>IFERROR(U13/U12,0)</f>
        <v>0.26858341433468053</v>
      </c>
      <c r="V36" s="117">
        <f>IFERROR(V13/V12,0)</f>
        <v>0.26910656620021528</v>
      </c>
      <c r="W36" s="117">
        <f>IFERROR(W13/W12,0)</f>
        <v>0.26889216428315343</v>
      </c>
      <c r="X36" s="117">
        <f>IFERROR(X13/X12,0)</f>
        <v>0.26804860614724801</v>
      </c>
      <c r="Y36" s="117">
        <f>IFERROR(Y13/Y12,0)</f>
        <v>0.26851098454027666</v>
      </c>
      <c r="Z36" s="117">
        <f>IFERROR(Z13/Z12,0)</f>
        <v>0.26824833835057077</v>
      </c>
    </row>
    <row r="37" spans="1:26" ht="20.100000000000001" customHeight="1" x14ac:dyDescent="0.35">
      <c r="A37" s="116" t="s">
        <v>81</v>
      </c>
      <c r="B37" s="117">
        <f>IFERROR(B21/B12,0)</f>
        <v>0.20023248189323717</v>
      </c>
      <c r="C37" s="117">
        <f>IFERROR(C21/C12,0)</f>
        <v>0.19642857142857142</v>
      </c>
      <c r="D37" s="117">
        <f>IFERROR(D21/D12,0)</f>
        <v>0.19576909286482611</v>
      </c>
      <c r="E37" s="117">
        <f>IFERROR(E21/E12,0)</f>
        <v>0.20877513711151738</v>
      </c>
      <c r="F37" s="117">
        <f>IFERROR(F21/F12,0)</f>
        <v>0.19957081545064378</v>
      </c>
      <c r="G37" s="117">
        <f>IFERROR(G21/G12,0)</f>
        <v>0.19659936238044634</v>
      </c>
      <c r="H37" s="117">
        <f>IFERROR(H21/H12,0)</f>
        <v>0.21582733812949639</v>
      </c>
      <c r="I37" s="117">
        <f>IFERROR(I21/I12,0)</f>
        <v>0.20077903682719547</v>
      </c>
      <c r="J37" s="117">
        <f>IFERROR(J21/J12,0)</f>
        <v>0.20625682066205894</v>
      </c>
      <c r="K37" s="117">
        <f>IFERROR(K21/K12,0)</f>
        <v>0.18133238332739579</v>
      </c>
      <c r="L37" s="117">
        <f>IFERROR(L21/L12,0)</f>
        <v>0.20646506777893639</v>
      </c>
      <c r="M37" s="117">
        <f>IFERROR(M21/M12,0)</f>
        <v>0.2040072859744991</v>
      </c>
      <c r="N37" s="117">
        <f>IFERROR(N21/N12,0)</f>
        <v>0.19143665958952583</v>
      </c>
      <c r="O37" s="117">
        <f>IFERROR(O21/O12,0)</f>
        <v>0.19642857142857142</v>
      </c>
      <c r="P37" s="117">
        <f>IFERROR(P21/P12,0)</f>
        <v>0.1960994811236357</v>
      </c>
      <c r="Q37" s="117">
        <f>IFERROR(Q21/Q12,0)</f>
        <v>0.20026429601153292</v>
      </c>
      <c r="R37" s="117">
        <f>IFERROR(R21/R12,0)</f>
        <v>0.20008992805755396</v>
      </c>
      <c r="S37" s="117">
        <f>IFERROR(S21/S12,0)</f>
        <v>0.19938320304095244</v>
      </c>
      <c r="T37" s="117">
        <f>IFERROR(T21/T12,0)</f>
        <v>0.20211684506368474</v>
      </c>
      <c r="U37" s="117">
        <f>IFERROR(U21/U12,0)</f>
        <v>0.20192356883409218</v>
      </c>
      <c r="V37" s="117">
        <f>IFERROR(V21/V12,0)</f>
        <v>0.20245783997129529</v>
      </c>
      <c r="W37" s="117">
        <f>IFERROR(W21/W12,0)</f>
        <v>0.20009560610285623</v>
      </c>
      <c r="X37" s="117">
        <f>IFERROR(X21/X12,0)</f>
        <v>0.2007505360972123</v>
      </c>
      <c r="Y37" s="117">
        <f>IFERROR(Y21/Y12,0)</f>
        <v>0.20104149715215622</v>
      </c>
      <c r="Z37" s="117">
        <f>IFERROR(Z21/Z12,0)</f>
        <v>0.20023248189323717</v>
      </c>
    </row>
    <row r="38" spans="1:26" ht="15" customHeight="1" x14ac:dyDescent="0.2">
      <c r="A38" s="118"/>
      <c r="B38" s="119"/>
      <c r="C38" s="119"/>
      <c r="D38" s="120"/>
      <c r="E38" s="120"/>
      <c r="F38" s="121"/>
      <c r="G38" s="121"/>
      <c r="H38" s="121"/>
      <c r="I38" s="121"/>
      <c r="J38" s="121"/>
      <c r="K38" s="121"/>
      <c r="L38" s="121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3"/>
      <c r="Z38" s="123"/>
    </row>
    <row r="39" spans="1:26" ht="15" customHeight="1" x14ac:dyDescent="0.25">
      <c r="A39" s="124" t="s">
        <v>116</v>
      </c>
      <c r="B39" s="119"/>
      <c r="C39" s="119"/>
      <c r="D39" s="120"/>
      <c r="E39" s="120"/>
      <c r="F39" s="121"/>
      <c r="G39" s="121"/>
      <c r="H39" s="121"/>
      <c r="I39" s="121"/>
      <c r="J39" s="121"/>
      <c r="K39" s="121"/>
      <c r="L39" s="121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3"/>
      <c r="Z39" s="123"/>
    </row>
    <row r="40" spans="1:26" ht="15" customHeight="1" x14ac:dyDescent="0.2">
      <c r="A40" s="118"/>
      <c r="B40" s="119"/>
      <c r="C40" s="119"/>
      <c r="D40" s="120"/>
      <c r="E40" s="120"/>
      <c r="F40" s="121"/>
      <c r="G40" s="121"/>
      <c r="H40" s="121"/>
      <c r="I40" s="121"/>
      <c r="J40" s="121"/>
      <c r="K40" s="121"/>
      <c r="L40" s="121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3"/>
      <c r="Z40" s="123"/>
    </row>
    <row r="41" spans="1:26" ht="15" customHeight="1" x14ac:dyDescent="0.25">
      <c r="A41" s="125" t="s">
        <v>69</v>
      </c>
      <c r="B41" s="126" t="s">
        <v>117</v>
      </c>
      <c r="C41" s="126" t="s">
        <v>118</v>
      </c>
      <c r="D41" s="126" t="s">
        <v>119</v>
      </c>
      <c r="E41" s="127"/>
      <c r="F41" s="127"/>
      <c r="G41" s="127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3"/>
      <c r="Z41" s="123"/>
    </row>
    <row r="42" spans="1:26" ht="15" customHeight="1" x14ac:dyDescent="0.25">
      <c r="A42" s="128" t="s">
        <v>120</v>
      </c>
      <c r="B42" s="129" t="s">
        <v>121</v>
      </c>
      <c r="C42" s="130" t="s">
        <v>122</v>
      </c>
      <c r="D42" s="131" t="s">
        <v>123</v>
      </c>
      <c r="E42" s="127"/>
      <c r="F42" s="127"/>
      <c r="G42" s="127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3"/>
      <c r="Z42" s="123"/>
    </row>
    <row r="43" spans="1:26" ht="15" customHeight="1" x14ac:dyDescent="0.25">
      <c r="A43" s="128" t="s">
        <v>124</v>
      </c>
      <c r="B43" s="129" t="s">
        <v>135</v>
      </c>
      <c r="C43" s="130" t="s">
        <v>136</v>
      </c>
      <c r="D43" s="131" t="s">
        <v>126</v>
      </c>
      <c r="E43" s="127"/>
      <c r="F43" s="127"/>
      <c r="G43" s="127"/>
      <c r="H43" s="121"/>
      <c r="I43" s="121"/>
      <c r="J43" s="121"/>
      <c r="K43" s="121"/>
      <c r="L43" s="121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3"/>
      <c r="Z43" s="123"/>
    </row>
    <row r="44" spans="1:26" ht="15" customHeight="1" x14ac:dyDescent="0.25">
      <c r="A44" s="128" t="s">
        <v>127</v>
      </c>
      <c r="B44" s="129" t="s">
        <v>137</v>
      </c>
      <c r="C44" s="130" t="s">
        <v>138</v>
      </c>
      <c r="D44" s="131" t="s">
        <v>139</v>
      </c>
      <c r="E44" s="127"/>
      <c r="F44" s="127"/>
      <c r="G44" s="127"/>
      <c r="H44" s="121"/>
      <c r="I44" s="121"/>
      <c r="J44" s="121"/>
      <c r="K44" s="121"/>
      <c r="L44" s="121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3"/>
      <c r="Z44" s="123"/>
    </row>
    <row r="45" spans="1:26" ht="15" customHeight="1" x14ac:dyDescent="0.25">
      <c r="A45" s="128" t="s">
        <v>108</v>
      </c>
      <c r="B45" s="129" t="s">
        <v>125</v>
      </c>
      <c r="C45" s="130" t="s">
        <v>128</v>
      </c>
      <c r="D45" s="131" t="s">
        <v>129</v>
      </c>
      <c r="E45" s="127"/>
      <c r="F45" s="127"/>
      <c r="G45" s="127"/>
      <c r="H45" s="121"/>
      <c r="I45" s="121"/>
      <c r="J45" s="121"/>
      <c r="K45" s="121"/>
      <c r="L45" s="121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3"/>
      <c r="Z45" s="123"/>
    </row>
    <row r="46" spans="1:26" ht="15" customHeight="1" x14ac:dyDescent="0.25">
      <c r="A46" s="128" t="s">
        <v>130</v>
      </c>
      <c r="B46" s="129" t="s">
        <v>131</v>
      </c>
      <c r="C46" s="130" t="s">
        <v>132</v>
      </c>
      <c r="D46" s="131" t="s">
        <v>133</v>
      </c>
      <c r="E46" s="127"/>
      <c r="F46" s="127"/>
      <c r="G46" s="127"/>
      <c r="H46" s="121"/>
      <c r="I46" s="121"/>
      <c r="J46" s="121"/>
      <c r="K46" s="121"/>
      <c r="L46" s="121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3"/>
      <c r="Z46" s="123"/>
    </row>
    <row r="47" spans="1:26" ht="15" customHeight="1" x14ac:dyDescent="0.25">
      <c r="A47" s="118"/>
      <c r="B47" s="119"/>
      <c r="C47" s="119"/>
      <c r="D47" s="120"/>
      <c r="E47" s="127"/>
      <c r="F47" s="127"/>
      <c r="G47" s="127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3"/>
      <c r="Z47" s="123"/>
    </row>
    <row r="48" spans="1:26" ht="15" customHeight="1" x14ac:dyDescent="0.25">
      <c r="A48" s="132" t="s">
        <v>134</v>
      </c>
      <c r="B48" s="119"/>
      <c r="C48" s="119"/>
      <c r="D48" s="120"/>
      <c r="E48" s="127"/>
      <c r="F48" s="127"/>
      <c r="G48" s="127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3"/>
      <c r="Z48" s="123"/>
    </row>
    <row r="49" spans="1:24" ht="15" customHeight="1" x14ac:dyDescent="0.2">
      <c r="A49" s="7"/>
      <c r="B49" s="6"/>
      <c r="C49" s="6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</row>
    <row r="50" spans="1:24" ht="15" customHeight="1" x14ac:dyDescent="0.2">
      <c r="A50" s="7"/>
      <c r="B50" s="6"/>
      <c r="C50" s="6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</row>
    <row r="51" spans="1:24" ht="15" customHeight="1" x14ac:dyDescent="0.2">
      <c r="A51" s="7"/>
      <c r="B51" s="6"/>
      <c r="C51" s="6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</row>
    <row r="52" spans="1:24" ht="15" customHeight="1" x14ac:dyDescent="0.2">
      <c r="A52" s="7"/>
      <c r="B52" s="6"/>
      <c r="C52" s="6"/>
    </row>
    <row r="53" spans="1:24" ht="15" customHeight="1" x14ac:dyDescent="0.2">
      <c r="A53" s="7"/>
      <c r="B53" s="6"/>
      <c r="C53" s="6"/>
    </row>
    <row r="54" spans="1:24" ht="15" customHeight="1" x14ac:dyDescent="0.2">
      <c r="A54" s="7"/>
      <c r="B54" s="6"/>
      <c r="C54" s="6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</row>
    <row r="55" spans="1:24" ht="15" customHeight="1" x14ac:dyDescent="0.2">
      <c r="A55" s="7"/>
      <c r="B55" s="6"/>
      <c r="C55" s="6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 ht="15" customHeight="1" x14ac:dyDescent="0.2">
      <c r="A56" s="7"/>
      <c r="B56" s="6"/>
      <c r="C56" s="6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</row>
    <row r="57" spans="1:24" ht="15" customHeight="1" x14ac:dyDescent="0.2">
      <c r="A57" s="7"/>
      <c r="B57" s="6"/>
      <c r="C57" s="6"/>
    </row>
    <row r="58" spans="1:24" ht="15" customHeight="1" x14ac:dyDescent="0.2">
      <c r="A58" s="7"/>
      <c r="B58" s="6"/>
      <c r="C58" s="6"/>
    </row>
    <row r="59" spans="1:24" ht="15" customHeight="1" x14ac:dyDescent="0.2">
      <c r="A59" s="7"/>
      <c r="B59" s="6"/>
      <c r="C59" s="6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</row>
    <row r="60" spans="1:24" ht="15" customHeight="1" x14ac:dyDescent="0.2">
      <c r="A60" s="7"/>
      <c r="B60" s="6"/>
      <c r="C60" s="6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</row>
    <row r="61" spans="1:24" ht="15" customHeight="1" x14ac:dyDescent="0.2">
      <c r="A61" s="7"/>
      <c r="B61" s="6"/>
      <c r="C61" s="6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</row>
    <row r="62" spans="1:24" ht="15" customHeight="1" x14ac:dyDescent="0.2">
      <c r="A62" s="7"/>
      <c r="B62" s="6"/>
      <c r="C62" s="6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</row>
    <row r="63" spans="1:24" ht="15" customHeight="1" x14ac:dyDescent="0.2">
      <c r="A63" s="7"/>
      <c r="B63" s="6"/>
      <c r="C63" s="6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</row>
    <row r="64" spans="1:24" ht="15" customHeight="1" x14ac:dyDescent="0.2">
      <c r="A64" s="7"/>
      <c r="B64" s="6"/>
      <c r="C64" s="6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</row>
    <row r="65" spans="1:24" ht="15" customHeight="1" x14ac:dyDescent="0.2">
      <c r="A65" s="7"/>
      <c r="B65" s="6"/>
      <c r="C65" s="6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</row>
    <row r="66" spans="1:24" ht="15" customHeight="1" x14ac:dyDescent="0.2">
      <c r="A66" s="7"/>
      <c r="B66" s="6"/>
      <c r="C66" s="6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</row>
    <row r="67" spans="1:24" ht="15" customHeight="1" x14ac:dyDescent="0.2">
      <c r="A67" s="7"/>
      <c r="B67" s="6"/>
      <c r="C67" s="6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</row>
    <row r="68" spans="1:24" ht="15" customHeight="1" x14ac:dyDescent="0.2">
      <c r="A68" s="7"/>
      <c r="B68" s="6"/>
      <c r="C68" s="6"/>
    </row>
    <row r="69" spans="1:24" ht="15" customHeight="1" x14ac:dyDescent="0.2">
      <c r="A69" s="7"/>
      <c r="B69" s="6"/>
      <c r="C69" s="6"/>
    </row>
    <row r="70" spans="1:24" ht="15" customHeight="1" x14ac:dyDescent="0.2">
      <c r="A70" s="7"/>
      <c r="B70" s="6"/>
      <c r="C70" s="6"/>
    </row>
    <row r="71" spans="1:24" ht="15" customHeight="1" x14ac:dyDescent="0.2">
      <c r="A71" s="7"/>
      <c r="B71" s="6"/>
      <c r="C71" s="6"/>
    </row>
    <row r="72" spans="1:24" ht="15" customHeight="1" x14ac:dyDescent="0.2">
      <c r="A72" s="7"/>
      <c r="B72" s="6"/>
      <c r="C72" s="6"/>
    </row>
    <row r="73" spans="1:24" ht="15" customHeight="1" x14ac:dyDescent="0.2">
      <c r="A73" s="7"/>
      <c r="B73" s="6"/>
      <c r="C73" s="6"/>
    </row>
    <row r="74" spans="1:24" ht="15" customHeight="1" x14ac:dyDescent="0.2">
      <c r="A74" s="7"/>
      <c r="B74" s="6"/>
      <c r="C74" s="6"/>
    </row>
    <row r="75" spans="1:24" ht="15" customHeight="1" x14ac:dyDescent="0.2">
      <c r="A75" s="7"/>
      <c r="B75" s="6"/>
      <c r="C75" s="6"/>
    </row>
  </sheetData>
  <mergeCells count="2">
    <mergeCell ref="A1:B1"/>
    <mergeCell ref="A3:A4"/>
  </mergeCells>
  <conditionalFormatting sqref="B33:Z33">
    <cfRule type="cellIs" dxfId="19" priority="1" operator="lessThan">
      <formula>0.1</formula>
    </cfRule>
  </conditionalFormatting>
  <conditionalFormatting sqref="B33:Z33">
    <cfRule type="cellIs" dxfId="18" priority="2" operator="between">
      <formula>0.1</formula>
      <formula>0.15</formula>
    </cfRule>
  </conditionalFormatting>
  <conditionalFormatting sqref="B33:Z33">
    <cfRule type="cellIs" dxfId="17" priority="3" operator="greaterThan">
      <formula>0.15</formula>
    </cfRule>
  </conditionalFormatting>
  <conditionalFormatting sqref="B34:Z34">
    <cfRule type="cellIs" dxfId="16" priority="4" operator="lessThan">
      <formula>0.45</formula>
    </cfRule>
  </conditionalFormatting>
  <conditionalFormatting sqref="B34:Z34">
    <cfRule type="cellIs" dxfId="15" priority="5" operator="between">
      <formula>0.45</formula>
      <formula>0.5</formula>
    </cfRule>
  </conditionalFormatting>
  <conditionalFormatting sqref="B34:Z34">
    <cfRule type="cellIs" dxfId="14" priority="6" operator="greaterThan">
      <formula>0.5</formula>
    </cfRule>
  </conditionalFormatting>
  <conditionalFormatting sqref="B35:Z35">
    <cfRule type="cellIs" dxfId="13" priority="7" operator="lessThan">
      <formula>0.35</formula>
    </cfRule>
  </conditionalFormatting>
  <conditionalFormatting sqref="B35:Z35">
    <cfRule type="cellIs" dxfId="12" priority="8" operator="between">
      <formula>0.35</formula>
      <formula>0.4</formula>
    </cfRule>
  </conditionalFormatting>
  <conditionalFormatting sqref="B35:Z35">
    <cfRule type="cellIs" dxfId="11" priority="9" operator="greaterThan">
      <formula>0.4</formula>
    </cfRule>
  </conditionalFormatting>
  <conditionalFormatting sqref="B36:Z36">
    <cfRule type="cellIs" dxfId="10" priority="10" operator="lessThan">
      <formula>0.3</formula>
    </cfRule>
  </conditionalFormatting>
  <conditionalFormatting sqref="B36:Z36">
    <cfRule type="cellIs" dxfId="9" priority="11" operator="between">
      <formula>0.3</formula>
      <formula>0.35</formula>
    </cfRule>
  </conditionalFormatting>
  <conditionalFormatting sqref="B36:Z36">
    <cfRule type="cellIs" dxfId="8" priority="12" operator="greaterThan">
      <formula>0.35</formula>
    </cfRule>
  </conditionalFormatting>
  <conditionalFormatting sqref="B37:Z37">
    <cfRule type="cellIs" dxfId="7" priority="13" operator="lessThan">
      <formula>0.15</formula>
    </cfRule>
  </conditionalFormatting>
  <conditionalFormatting sqref="B37:Z37">
    <cfRule type="cellIs" dxfId="6" priority="14" operator="between">
      <formula>0.15</formula>
      <formula>0.25</formula>
    </cfRule>
  </conditionalFormatting>
  <conditionalFormatting sqref="B37:Z37">
    <cfRule type="cellIs" dxfId="5" priority="15" operator="greaterThan">
      <formula>0.25</formula>
    </cfRule>
  </conditionalFormatting>
  <pageMargins left="0.59055118110236227" right="0.19685039370078741" top="0" bottom="0" header="0.15748031496062992" footer="0"/>
  <pageSetup scale="24" orientation="landscape" r:id="rId1"/>
  <headerFooter alignWithMargins="0"/>
  <colBreaks count="1" manualBreakCount="1">
    <brk id="14" max="11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5DAA-4ED0-44FC-AFCF-84E152265516}">
  <dimension ref="A1:M61"/>
  <sheetViews>
    <sheetView showGridLines="0" topLeftCell="A55" zoomScale="85" zoomScaleNormal="85" workbookViewId="0">
      <selection activeCell="G70" sqref="G70"/>
    </sheetView>
  </sheetViews>
  <sheetFormatPr baseColWidth="10" defaultRowHeight="15" x14ac:dyDescent="0.25"/>
  <cols>
    <col min="1" max="1" width="25.140625" customWidth="1"/>
    <col min="2" max="2" width="15.85546875" customWidth="1"/>
    <col min="3" max="3" width="16.28515625" customWidth="1"/>
    <col min="4" max="4" width="25.85546875" customWidth="1"/>
    <col min="5" max="5" width="19.140625" customWidth="1"/>
    <col min="6" max="6" width="14.140625" customWidth="1"/>
    <col min="7" max="7" width="16.140625" customWidth="1"/>
    <col min="8" max="9" width="12.28515625" customWidth="1"/>
    <col min="10" max="10" width="10.140625" customWidth="1"/>
    <col min="11" max="11" width="10.5703125" customWidth="1"/>
  </cols>
  <sheetData>
    <row r="1" spans="1:13" ht="39.950000000000003" customHeight="1" x14ac:dyDescent="0.4">
      <c r="A1" s="31" t="s">
        <v>82</v>
      </c>
      <c r="B1" s="30"/>
      <c r="C1" s="30"/>
      <c r="D1" s="30"/>
      <c r="E1" s="30"/>
      <c r="F1" s="30"/>
      <c r="G1" s="30"/>
      <c r="H1" s="30"/>
    </row>
    <row r="3" spans="1:13" x14ac:dyDescent="0.25">
      <c r="A3" s="32" t="s">
        <v>142</v>
      </c>
      <c r="C3" s="35" t="s">
        <v>140</v>
      </c>
      <c r="E3" s="38" t="s">
        <v>141</v>
      </c>
      <c r="G3" s="80" t="s">
        <v>143</v>
      </c>
      <c r="H3" s="81"/>
    </row>
    <row r="4" spans="1:13" ht="23.25" x14ac:dyDescent="0.35">
      <c r="A4" s="33">
        <f>Plan2025!B12</f>
        <v>33551</v>
      </c>
      <c r="C4" s="36">
        <f>Plan2025!B19</f>
        <v>15600</v>
      </c>
      <c r="E4" s="39">
        <f>Plan2025!B28</f>
        <v>12894</v>
      </c>
      <c r="G4" s="40">
        <f>Plan2025!B30</f>
        <v>5057</v>
      </c>
      <c r="H4" s="82"/>
    </row>
    <row r="6" spans="1:13" ht="15.75" x14ac:dyDescent="0.25">
      <c r="A6" s="41" t="s">
        <v>83</v>
      </c>
    </row>
    <row r="7" spans="1:13" x14ac:dyDescent="0.25">
      <c r="A7" s="42" t="s">
        <v>84</v>
      </c>
      <c r="B7" s="42" t="s">
        <v>85</v>
      </c>
      <c r="C7" s="42" t="s">
        <v>86</v>
      </c>
      <c r="D7" s="42" t="s">
        <v>87</v>
      </c>
      <c r="E7" s="42" t="s">
        <v>88</v>
      </c>
      <c r="F7" s="42" t="s">
        <v>89</v>
      </c>
      <c r="G7" s="42" t="s">
        <v>90</v>
      </c>
      <c r="H7" s="42" t="s">
        <v>91</v>
      </c>
      <c r="I7" s="42" t="s">
        <v>92</v>
      </c>
      <c r="J7" s="42" t="s">
        <v>93</v>
      </c>
      <c r="K7" s="42" t="s">
        <v>94</v>
      </c>
      <c r="L7" s="42" t="s">
        <v>95</v>
      </c>
      <c r="M7" s="42" t="s">
        <v>96</v>
      </c>
    </row>
    <row r="8" spans="1:13" x14ac:dyDescent="0.25">
      <c r="A8" s="43" t="s">
        <v>97</v>
      </c>
      <c r="B8" s="44">
        <f>Plan2025!C12</f>
        <v>2800</v>
      </c>
      <c r="C8" s="44">
        <f>Plan2025!D12</f>
        <v>2789</v>
      </c>
      <c r="D8" s="44">
        <f>Plan2025!E12</f>
        <v>2735</v>
      </c>
      <c r="E8" s="44">
        <f>Plan2025!F12</f>
        <v>2796</v>
      </c>
      <c r="F8" s="44">
        <f>Plan2025!G12</f>
        <v>2823</v>
      </c>
      <c r="G8" s="44">
        <f>Plan2025!H12</f>
        <v>2780</v>
      </c>
      <c r="H8" s="44">
        <f>Plan2025!I12</f>
        <v>2824</v>
      </c>
      <c r="I8" s="44">
        <f>Plan2025!J12</f>
        <v>2749</v>
      </c>
      <c r="J8" s="44">
        <f>Plan2025!K12</f>
        <v>2807</v>
      </c>
      <c r="K8" s="44">
        <f>Plan2025!L12</f>
        <v>2877</v>
      </c>
      <c r="L8" s="44">
        <f>Plan2025!M12</f>
        <v>2745</v>
      </c>
      <c r="M8" s="44">
        <f>Plan2025!N12</f>
        <v>2826</v>
      </c>
    </row>
    <row r="9" spans="1:13" x14ac:dyDescent="0.25">
      <c r="A9" s="45" t="s">
        <v>98</v>
      </c>
      <c r="B9" s="44">
        <f>Plan2025!C19</f>
        <v>1300</v>
      </c>
      <c r="C9" s="44">
        <f>Plan2025!D19</f>
        <v>1300</v>
      </c>
      <c r="D9" s="44">
        <f>Plan2025!E19</f>
        <v>1300</v>
      </c>
      <c r="E9" s="44">
        <f>Plan2025!F19</f>
        <v>1300</v>
      </c>
      <c r="F9" s="44">
        <f>Plan2025!G19</f>
        <v>1300</v>
      </c>
      <c r="G9" s="44">
        <f>Plan2025!H19</f>
        <v>1300</v>
      </c>
      <c r="H9" s="44">
        <f>Plan2025!I19</f>
        <v>1300</v>
      </c>
      <c r="I9" s="44">
        <f>Plan2025!J19</f>
        <v>1300</v>
      </c>
      <c r="J9" s="44">
        <f>Plan2025!K19</f>
        <v>1300</v>
      </c>
      <c r="K9" s="44">
        <f>Plan2025!L19</f>
        <v>1300</v>
      </c>
      <c r="L9" s="44">
        <f>Plan2025!M19</f>
        <v>1300</v>
      </c>
      <c r="M9" s="44">
        <f>Plan2025!N19</f>
        <v>1300</v>
      </c>
    </row>
    <row r="10" spans="1:13" x14ac:dyDescent="0.25">
      <c r="A10" s="46" t="s">
        <v>99</v>
      </c>
      <c r="B10" s="44">
        <f>Plan2025!C28</f>
        <v>1060</v>
      </c>
      <c r="C10" s="44">
        <f>Plan2025!D28</f>
        <v>1003</v>
      </c>
      <c r="D10" s="44">
        <f>Plan2025!E28</f>
        <v>1059</v>
      </c>
      <c r="E10" s="44">
        <f>Plan2025!F28</f>
        <v>1184</v>
      </c>
      <c r="F10" s="44">
        <f>Plan2025!G28</f>
        <v>1126</v>
      </c>
      <c r="G10" s="44">
        <f>Plan2025!H28</f>
        <v>1211</v>
      </c>
      <c r="H10" s="44">
        <f>Plan2025!I28</f>
        <v>995</v>
      </c>
      <c r="I10" s="44">
        <f>Plan2025!J28</f>
        <v>1082</v>
      </c>
      <c r="J10" s="44">
        <f>Plan2025!K28</f>
        <v>1056</v>
      </c>
      <c r="K10" s="44">
        <f>Plan2025!L28</f>
        <v>1096</v>
      </c>
      <c r="L10" s="44">
        <f>Plan2025!M28</f>
        <v>1063</v>
      </c>
      <c r="M10" s="44">
        <f>Plan2025!N28</f>
        <v>959</v>
      </c>
    </row>
    <row r="11" spans="1:13" x14ac:dyDescent="0.25">
      <c r="A11" s="47" t="s">
        <v>53</v>
      </c>
      <c r="B11" s="44">
        <f>Plan2025!C30</f>
        <v>440</v>
      </c>
      <c r="C11" s="44">
        <f>Plan2025!D30</f>
        <v>486</v>
      </c>
      <c r="D11" s="44">
        <f>Plan2025!E30</f>
        <v>376</v>
      </c>
      <c r="E11" s="44">
        <f>Plan2025!F30</f>
        <v>312</v>
      </c>
      <c r="F11" s="44">
        <f>Plan2025!G30</f>
        <v>397</v>
      </c>
      <c r="G11" s="44">
        <f>Plan2025!H30</f>
        <v>269</v>
      </c>
      <c r="H11" s="44">
        <f>Plan2025!I30</f>
        <v>529</v>
      </c>
      <c r="I11" s="44">
        <f>Plan2025!J30</f>
        <v>367</v>
      </c>
      <c r="J11" s="44">
        <f>Plan2025!K30</f>
        <v>451</v>
      </c>
      <c r="K11" s="44">
        <f>Plan2025!L30</f>
        <v>481</v>
      </c>
      <c r="L11" s="44">
        <f>Plan2025!M30</f>
        <v>382</v>
      </c>
      <c r="M11" s="44">
        <f>Plan2025!N30</f>
        <v>567</v>
      </c>
    </row>
    <row r="30" spans="1:6" ht="15.75" x14ac:dyDescent="0.25">
      <c r="A30" s="41" t="s">
        <v>100</v>
      </c>
      <c r="D30" s="41" t="s">
        <v>101</v>
      </c>
    </row>
    <row r="31" spans="1:6" x14ac:dyDescent="0.25">
      <c r="A31" s="49" t="s">
        <v>84</v>
      </c>
      <c r="B31" s="49" t="s">
        <v>37</v>
      </c>
      <c r="D31" s="42" t="s">
        <v>102</v>
      </c>
      <c r="E31" s="42" t="s">
        <v>103</v>
      </c>
      <c r="F31" s="42" t="s">
        <v>104</v>
      </c>
    </row>
    <row r="32" spans="1:6" x14ac:dyDescent="0.25">
      <c r="A32" s="2" t="s">
        <v>98</v>
      </c>
      <c r="B32" s="50">
        <f>Plan2025!B19</f>
        <v>15600</v>
      </c>
      <c r="D32" s="2" t="s">
        <v>105</v>
      </c>
      <c r="E32" s="51">
        <f>IFERROR(Plan2025!B30/Plan2025!B12,0)</f>
        <v>0.15072576078209293</v>
      </c>
      <c r="F32" s="52" t="str">
        <f>IF(E32&gt;=0.15,"✅ Excelente",IF(E32&gt;=0.1,"⚠️ Aceptable","❌ Bajo"))</f>
        <v>✅ Excelente</v>
      </c>
    </row>
    <row r="33" spans="1:6" x14ac:dyDescent="0.25">
      <c r="A33" s="2" t="s">
        <v>99</v>
      </c>
      <c r="B33" s="50">
        <f>Plan2025!B28</f>
        <v>12894</v>
      </c>
      <c r="D33" s="2" t="s">
        <v>106</v>
      </c>
      <c r="E33" s="51">
        <f>IFERROR(Plan2025!B19/Plan2025!B12,0)</f>
        <v>0.46496378647432268</v>
      </c>
      <c r="F33" s="52" t="str">
        <f>IF(E33&lt;=0.3,"✅ Óptimo",IF(E33&lt;=0.5,"⚠️ Normal","❌ Alto"))</f>
        <v>⚠️ Normal</v>
      </c>
    </row>
    <row r="34" spans="1:6" x14ac:dyDescent="0.25">
      <c r="A34" s="2" t="s">
        <v>35</v>
      </c>
      <c r="B34" s="50">
        <f>Plan2025!B30</f>
        <v>5057</v>
      </c>
      <c r="D34" s="2" t="s">
        <v>107</v>
      </c>
      <c r="E34" s="51">
        <f>IFERROR(Plan2025!B28/Plan2025!B12,0)</f>
        <v>0.38431045274358439</v>
      </c>
      <c r="F34" s="52" t="str">
        <f>IF(E34&lt;=0.3,"✅ Óptimo",IF(E34&lt;=0.5,"⚠️ Normal","❌ Alto"))</f>
        <v>⚠️ Normal</v>
      </c>
    </row>
    <row r="35" spans="1:6" x14ac:dyDescent="0.25">
      <c r="D35" s="2" t="s">
        <v>108</v>
      </c>
      <c r="E35" s="51">
        <f>IFERROR(Plan2025!B13/Plan2025!B12,0)</f>
        <v>0.26824833835057077</v>
      </c>
      <c r="F35" s="52" t="str">
        <f>IF(E35&lt;=0.3,"✅ Óptimo",IF(E35&lt;=0.35,"⚠️ Límite","❌ Excesivo"))</f>
        <v>✅ Óptimo</v>
      </c>
    </row>
    <row r="37" spans="1:6" ht="15.75" x14ac:dyDescent="0.25">
      <c r="A37" s="41" t="s">
        <v>109</v>
      </c>
    </row>
    <row r="38" spans="1:6" x14ac:dyDescent="0.25">
      <c r="A38" s="34" t="s">
        <v>38</v>
      </c>
      <c r="B38" s="34" t="s">
        <v>110</v>
      </c>
    </row>
    <row r="39" spans="1:6" x14ac:dyDescent="0.25">
      <c r="A39" t="s">
        <v>15</v>
      </c>
      <c r="B39" s="48">
        <f>Plan2025!B13</f>
        <v>9000</v>
      </c>
    </row>
    <row r="40" spans="1:6" x14ac:dyDescent="0.25">
      <c r="A40" t="s">
        <v>47</v>
      </c>
      <c r="B40" s="48">
        <f>Plan2025!B14</f>
        <v>1500</v>
      </c>
    </row>
    <row r="41" spans="1:6" x14ac:dyDescent="0.25">
      <c r="A41" t="s">
        <v>48</v>
      </c>
      <c r="B41" s="48">
        <f>Plan2025!B15</f>
        <v>720</v>
      </c>
    </row>
    <row r="42" spans="1:6" x14ac:dyDescent="0.25">
      <c r="A42" t="s">
        <v>19</v>
      </c>
      <c r="B42" s="48">
        <f>Plan2025!B16</f>
        <v>780</v>
      </c>
    </row>
    <row r="43" spans="1:6" x14ac:dyDescent="0.25">
      <c r="A43" t="s">
        <v>21</v>
      </c>
      <c r="B43" s="48">
        <f>Plan2025!B17</f>
        <v>600</v>
      </c>
    </row>
    <row r="44" spans="1:6" x14ac:dyDescent="0.25">
      <c r="A44" t="s">
        <v>49</v>
      </c>
      <c r="B44" s="48">
        <f>Plan2025!B18</f>
        <v>3000</v>
      </c>
    </row>
    <row r="46" spans="1:6" x14ac:dyDescent="0.25">
      <c r="A46" s="37" t="s">
        <v>27</v>
      </c>
      <c r="B46" s="37" t="s">
        <v>110</v>
      </c>
    </row>
    <row r="47" spans="1:6" x14ac:dyDescent="0.25">
      <c r="A47" t="s">
        <v>23</v>
      </c>
      <c r="B47" s="48">
        <f>Plan2025!B20</f>
        <v>1059</v>
      </c>
    </row>
    <row r="48" spans="1:6" x14ac:dyDescent="0.25">
      <c r="A48" t="s">
        <v>25</v>
      </c>
      <c r="B48" s="48">
        <f>Plan2025!B21</f>
        <v>6718</v>
      </c>
    </row>
    <row r="49" spans="1:4" x14ac:dyDescent="0.25">
      <c r="A49" t="s">
        <v>28</v>
      </c>
      <c r="B49" s="48">
        <f>Plan2025!B22</f>
        <v>1819</v>
      </c>
    </row>
    <row r="50" spans="1:4" x14ac:dyDescent="0.25">
      <c r="A50" t="s">
        <v>30</v>
      </c>
      <c r="B50" s="48">
        <f>Plan2025!B23</f>
        <v>567</v>
      </c>
    </row>
    <row r="51" spans="1:4" x14ac:dyDescent="0.25">
      <c r="A51" t="s">
        <v>50</v>
      </c>
      <c r="B51" s="48">
        <f>Plan2025!B24</f>
        <v>368</v>
      </c>
    </row>
    <row r="52" spans="1:4" x14ac:dyDescent="0.25">
      <c r="A52" t="s">
        <v>52</v>
      </c>
      <c r="B52" s="48">
        <f>Plan2025!B25</f>
        <v>1312</v>
      </c>
    </row>
    <row r="53" spans="1:4" x14ac:dyDescent="0.25">
      <c r="A53" t="s">
        <v>33</v>
      </c>
      <c r="B53" s="48">
        <f>Plan2025!B26</f>
        <v>445</v>
      </c>
    </row>
    <row r="54" spans="1:4" x14ac:dyDescent="0.25">
      <c r="A54" t="s">
        <v>111</v>
      </c>
      <c r="B54" s="48">
        <f>Plan2025!B27</f>
        <v>606</v>
      </c>
    </row>
    <row r="57" spans="1:4" ht="15.75" thickBot="1" x14ac:dyDescent="0.3"/>
    <row r="58" spans="1:4" ht="15.75" thickBot="1" x14ac:dyDescent="0.3">
      <c r="A58" s="83" t="s">
        <v>112</v>
      </c>
      <c r="B58" s="84"/>
      <c r="C58" s="84"/>
      <c r="D58" s="85"/>
    </row>
    <row r="59" spans="1:4" ht="15.75" thickBot="1" x14ac:dyDescent="0.3">
      <c r="A59" s="86" t="s">
        <v>113</v>
      </c>
      <c r="B59" s="87">
        <f ca="1">NOW()</f>
        <v>46123.911642824074</v>
      </c>
      <c r="C59" s="23"/>
      <c r="D59" s="23"/>
    </row>
    <row r="61" spans="1:4" x14ac:dyDescent="0.25">
      <c r="D61" t="s">
        <v>296</v>
      </c>
    </row>
  </sheetData>
  <mergeCells count="1">
    <mergeCell ref="A1:H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DF6D45-BCFA-48D4-9A59-D136E38AD0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Instrucciones</vt:lpstr>
      <vt:lpstr>Categorias </vt:lpstr>
      <vt:lpstr>Plan-Patron</vt:lpstr>
      <vt:lpstr>Plan2025</vt:lpstr>
      <vt:lpstr>Dashboard</vt:lpstr>
      <vt:lpstr>Plan2025!Área_de_impresión</vt:lpstr>
      <vt:lpstr>Plan2025!Títulos_a_imprimir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Diosvely</dc:creator>
  <cp:lastModifiedBy>Diosvely Perez</cp:lastModifiedBy>
  <dcterms:created xsi:type="dcterms:W3CDTF">2015-06-05T18:19:34Z</dcterms:created>
  <dcterms:modified xsi:type="dcterms:W3CDTF">2026-04-11T21:32:03Z</dcterms:modified>
</cp:coreProperties>
</file>